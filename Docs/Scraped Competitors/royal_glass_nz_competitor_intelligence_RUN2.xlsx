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2cb69b5c1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Master" sheetId="1" r:id="Rc5643a03715f4148"/>
    <x:sheet xmlns:r="http://schemas.openxmlformats.org/officeDocument/2006/relationships" name="Service Matrix" sheetId="2" r:id="R023bc8f806e24da1"/>
    <x:sheet xmlns:r="http://schemas.openxmlformats.org/officeDocument/2006/relationships" name="Opportunities" sheetId="3" r:id="Rdd21e9bb359f4a4e"/>
    <x:sheet xmlns:r="http://schemas.openxmlformats.org/officeDocument/2006/relationships" name="Royal Benchmark" sheetId="4" r:id="R2786cb80616d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313A"/>
      <x:name val="Carlito"/>
    </x:font>
    <x:font>
      <x:b/>
      <x:sz val="11"/>
      <x:color rgb="FFFFFFFF"/>
      <x:name val="Carlito"/>
    </x:font>
    <x:font>
      <x:b/>
      <x:sz val="11"/>
      <x:color rgb="FF2931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77D"/>
      </x:patternFill>
    </x:fill>
    <x:fill>
      <x:patternFill patternType="solid">
        <x:fgColor rgb="FFF3F4F6"/>
      </x:patternFill>
    </x:fill>
    <x:fill>
      <x:patternFill patternType="solid">
        <x:fgColor rgb="FF29313A"/>
      </x:patternFill>
    </x:fill>
    <x:fill>
      <x:patternFill patternType="solid">
        <x:fgColor rgb="FFE7F4F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1">
    <x:dxf>
      <x:font>
        <x:b/>
        <x:color rgb="FFB91C1C"/>
      </x:font>
    </x:dxf>
    <x:dxf>
      <x:font>
        <x:color rgb="FF047857"/>
      </x:font>
    </x:dxf>
    <x:dxf>
      <x:font>
        <x:b/>
        <x:color rgb="FF16777D"/>
      </x:font>
      <x:fill>
        <x:patternFill patternType="solid">
          <x:bgColor rgb="FFDFF3F4"/>
        </x:patternFill>
      </x:fill>
    </x:dxf>
    <x:dxf>
      <x:font>
        <x:color rgb="FF29313A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d0e93ada9467c" /><Relationship Type="http://schemas.openxmlformats.org/officeDocument/2006/relationships/theme" Target="/xl/theme/theme1.xml" Id="Rc6bbad4ce63f479e" /><Relationship Type="http://schemas.openxmlformats.org/officeDocument/2006/relationships/sharedStrings" Target="/xl/sharedStrings.xml" Id="Rfc9e7d10e6b54cdc" /><Relationship Type="http://schemas.openxmlformats.org/officeDocument/2006/relationships/worksheet" Target="/xl/worksheets/sheet1.xml" Id="Rc5643a03715f4148" /><Relationship Type="http://schemas.openxmlformats.org/officeDocument/2006/relationships/worksheet" Target="/xl/worksheets/sheet2.xml" Id="R023bc8f806e24da1" /><Relationship Type="http://schemas.openxmlformats.org/officeDocument/2006/relationships/worksheet" Target="/xl/worksheets/sheet3.xml" Id="Rdd21e9bb359f4a4e" /><Relationship Type="http://schemas.openxmlformats.org/officeDocument/2006/relationships/worksheet" Target="/xl/worksheets/sheet4.xml" Id="R2786cb80616d40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48366648464d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Google Review Volume — Selected Benchmark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Google Reviews</c:v>
          </c:tx>
          <c:cat>
            <c:strRef>
              <c:f>'Royal Benchmark'!$A$11:$A$18</c:f>
              <c:strCache>
                <c:ptCount val="0"/>
              </c:strCache>
            </c:strRef>
          </c:cat>
          <c:val>
            <c:numRef>
              <c:f>'Royal Benchmark'!$B$11:$B$18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48366648464d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orMasterTable" displayName="CompetitorMasterTable" ref="A3:Z36" headerRowCount="1" totalsRowCount="0" totalsRowShown="0">
  <x:tableColumns count="26">
    <x:tableColumn id="1" name="Priority"/>
    <x:tableColumn id="2" name="Competitor"/>
    <x:tableColumn id="3" name="Website"/>
    <x:tableColumn id="4" name="Address"/>
    <x:tableColumn id="5" name="City"/>
    <x:tableColumn id="6" name="Region"/>
    <x:tableColumn id="7" name="Coverage"/>
    <x:tableColumn id="8" name="Phone"/>
    <x:tableColumn id="9" name="Email"/>
    <x:tableColumn id="10" name="Facebook"/>
    <x:tableColumn id="11" name="Instagram"/>
    <x:tableColumn id="12" name="LinkedIn"/>
    <x:tableColumn id="13" name="Google Rating"/>
    <x:tableColumn id="14" name="Google Reviews"/>
    <x:tableColumn id="15" name="Review Gap vs Royal Glass"/>
    <x:tableColumn id="16" name="Core Markets"/>
    <x:tableColumn id="17" name="Key Service Overlap"/>
    <x:tableColumn id="18" name="Positioning / Differentiator"/>
    <x:tableColumn id="19" name="Key Contact / Leader"/>
    <x:tableColumn id="20" name="Company Size / Experience"/>
    <x:tableColumn id="21" name="Trust / Certifications"/>
    <x:tableColumn id="22" name="Content / Social Signal"/>
    <x:tableColumn id="23" name="Monitoring Focus"/>
    <x:tableColumn id="24" name="Data Completeness"/>
    <x:tableColumn id="25" name="Last Verified"/>
    <x:tableColumn id="26" name="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MatrixTable" displayName="ServiceMatrixTable" ref="A3:Q36" headerRowCount="1" totalsRowCount="0" totalsRowShown="0">
  <x:tableColumns count="17">
    <x:tableColumn id="1" name="Competitor"/>
    <x:tableColumn id="2" name="Region"/>
    <x:tableColumn id="3" name="Glass Railing / Barrier"/>
    <x:tableColumn id="4" name="Juliet Balustrade"/>
    <x:tableColumn id="5" name="Standoff / Point / Disc Fixed"/>
    <x:tableColumn id="6" name="Side / Face Fixed"/>
    <x:tableColumn id="7" name="Aluminium Framed"/>
    <x:tableColumn id="8" name="Commercial Glazing"/>
    <x:tableColumn id="9" name="Architectural Glass"/>
    <x:tableColumn id="10" name="Glass + Aluminium"/>
    <x:tableColumn id="11" name="Frameless Shower"/>
    <x:tableColumn id="12" name="Commercial Partition"/>
    <x:tableColumn id="13" name="Glass Doors / Sliding / Pivot"/>
    <x:tableColumn id="14" name="Custom / Commercial Mirrors"/>
    <x:tableColumn id="15" name="Glass Canopy"/>
    <x:tableColumn id="16" name="Stainless Handrail"/>
    <x:tableColumn id="17" name="Reeded / Flu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portunityTable" displayName="OpportunityTable" ref="A4:G17" headerRowCount="1" totalsRowCount="0" totalsRowShown="0">
  <x:tableColumns count="7">
    <x:tableColumn id="1" name="Opportunity"/>
    <x:tableColumn id="2" name="Competitor Evidence"/>
    <x:tableColumn id="3" name="Recommended Royal Glass Action"/>
    <x:tableColumn id="4" name="Impact"/>
    <x:tableColumn id="5" name="Effort"/>
    <x:tableColumn id="6" name="Priority"/>
    <x:tableColumn id="7" name="Metric to Tr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a60145c8c47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d0d0e4b3be43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d67a9d941549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8fe52404628482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0" hidden="0" customWidth="1"/>
    <x:col min="4" max="4" width="38" hidden="0" customWidth="1"/>
    <x:col min="5" max="5" width="17" hidden="0" customWidth="1"/>
    <x:col min="6" max="6" width="20" hidden="0" customWidth="1"/>
    <x:col min="7" max="7" width="40" hidden="0" customWidth="1"/>
    <x:col min="8" max="8" width="24" hidden="0" customWidth="1"/>
    <x:col min="9" max="9" width="31" hidden="0" customWidth="1"/>
    <x:col min="10" max="10" width="34" hidden="0" customWidth="1"/>
    <x:col min="11" max="11" width="34" hidden="0" customWidth="1"/>
    <x:col min="12" max="12" width="38" hidden="0" customWidth="1"/>
    <x:col min="13" max="13" width="12" hidden="0" customWidth="1"/>
    <x:col min="14" max="14" width="13" hidden="0" customWidth="1"/>
    <x:col min="15" max="15" width="16" hidden="0" customWidth="1"/>
    <x:col min="16" max="16" width="38" hidden="0" customWidth="1"/>
    <x:col min="17" max="17" width="55" hidden="0" customWidth="1"/>
    <x:col min="18" max="18" width="48" hidden="0" customWidth="1"/>
    <x:col min="19" max="19" width="32" hidden="0" customWidth="1"/>
    <x:col min="20" max="20" width="35" hidden="0" customWidth="1"/>
    <x:col min="21" max="21" width="32" hidden="0" customWidth="1"/>
    <x:col min="22" max="22" width="42" hidden="0" customWidth="1"/>
    <x:col min="23" max="23" width="42" hidden="0" customWidth="1"/>
    <x:col min="24" max="24" width="14" hidden="0" customWidth="1"/>
    <x:col min="25" max="25" width="13" hidden="0" customWidth="1"/>
    <x:col min="26" max="26" width="60" hidden="0" customWidth="1"/>
  </x:cols>
  <x:sheetData>
    <x:row r="1" ht="30" customHeight="1">
      <x:c r="A1" s="4" t="str">
        <x:v>Royal Glass — New Zealand Competitor Intelligence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4" customHeight="1">
      <x:c r="A2" s="10" t="str">
        <x:v>Verified 21 Aug 2026. 'Not verified' means a public detail was not confidently confirmed in this scan. Google ratings/reviews are location-level snapshots and will change.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42" customHeight="1">
      <x:c r="A3" s="18" t="str">
        <x:v>Priority</x:v>
      </x:c>
      <x:c r="B3" s="18" t="str">
        <x:v>Competitor</x:v>
      </x:c>
      <x:c r="C3" s="18" t="str">
        <x:v>Website</x:v>
      </x:c>
      <x:c r="D3" s="18" t="str">
        <x:v>Address</x:v>
      </x:c>
      <x:c r="E3" s="18" t="str">
        <x:v>City</x:v>
      </x:c>
      <x:c r="F3" s="18" t="str">
        <x:v>Region</x:v>
      </x:c>
      <x:c r="G3" s="18" t="str">
        <x:v>Coverage</x:v>
      </x:c>
      <x:c r="H3" s="18" t="str">
        <x:v>Phone</x:v>
      </x:c>
      <x:c r="I3" s="18" t="str">
        <x:v>Email</x:v>
      </x:c>
      <x:c r="J3" s="18" t="str">
        <x:v>Facebook</x:v>
      </x:c>
      <x:c r="K3" s="18" t="str">
        <x:v>Instagram</x:v>
      </x:c>
      <x:c r="L3" s="18" t="str">
        <x:v>LinkedIn</x:v>
      </x:c>
      <x:c r="M3" s="18" t="str">
        <x:v>Google Rating</x:v>
      </x:c>
      <x:c r="N3" s="18" t="str">
        <x:v>Google Reviews</x:v>
      </x:c>
      <x:c r="O3" s="18" t="str">
        <x:v>Review Gap vs Royal Glass</x:v>
      </x:c>
      <x:c r="P3" s="18" t="str">
        <x:v>Core Markets</x:v>
      </x:c>
      <x:c r="Q3" s="18" t="str">
        <x:v>Key Service Overlap</x:v>
      </x:c>
      <x:c r="R3" s="18" t="str">
        <x:v>Positioning / Differentiator</x:v>
      </x:c>
      <x:c r="S3" s="18" t="str">
        <x:v>Key Contact / Leader</x:v>
      </x:c>
      <x:c r="T3" s="18" t="str">
        <x:v>Company Size / Experience</x:v>
      </x:c>
      <x:c r="U3" s="18" t="str">
        <x:v>Trust / Certifications</x:v>
      </x:c>
      <x:c r="V3" s="18" t="str">
        <x:v>Content / Social Signal</x:v>
      </x:c>
      <x:c r="W3" s="18" t="str">
        <x:v>Monitoring Focus</x:v>
      </x:c>
      <x:c r="X3" s="18" t="str">
        <x:v>Data Completeness</x:v>
      </x:c>
      <x:c r="Y3" s="18" t="str">
        <x:v>Last Verified</x:v>
      </x:c>
      <x:c r="Z3" s="18" t="str">
        <x:v>Source URLs</x:v>
      </x:c>
    </x:row>
    <x:row r="4">
      <x:c r="A4" s="26" t="str">
        <x:v>A+</x:v>
      </x:c>
      <x:c r="B4" s="26" t="str">
        <x:v>360 Glass Ltd.</x:v>
      </x:c>
      <x:c r="C4" s="26" t="str">
        <x:v>https://www.360glass.co.nz/</x:v>
      </x:c>
      <x:c r="D4" s="26" t="str">
        <x:v>32 Hillside Road, Wairau Valley, Auckland 0627</x:v>
      </x:c>
      <x:c r="E4" s="26" t="str">
        <x:v>Auckland</x:v>
      </x:c>
      <x:c r="F4" s="26" t="str">
        <x:v>Auckland</x:v>
      </x:c>
      <x:c r="G4" s="26" t="str">
        <x:v>Auckland-wide; selected projects into Northland / Coromandel / Bay of Plenty</x:v>
      </x:c>
      <x:c r="H4" s="26" t="str">
        <x:v>0800 360 452</x:v>
      </x:c>
      <x:c r="I4" s="26" t="str">
        <x:v>office@360glass.co.nz</x:v>
      </x:c>
      <x:c r="J4" s="26" t="str">
        <x:v>Not verified</x:v>
      </x:c>
      <x:c r="K4" s="26" t="str">
        <x:v>Not verified</x:v>
      </x:c>
      <x:c r="L4" s="26" t="str">
        <x:v>Verified presence; direct company URL not captured</x:v>
      </x:c>
      <x:c r="M4" s="28" t="n">
        <x:v>4.9</x:v>
      </x:c>
      <x:c r="N4" s="30" t="n">
        <x:v>106</x:v>
      </x:c>
      <x:c r="O4" s="30" t="n">
        <x:f>IF(N4="","",N4-'Royal Benchmark'!$B$7)</x:f>
        <x:v>34</x:v>
      </x:c>
      <x:c r="P4" s="26" t="str">
        <x:v>Residential + commercial; homeowners, builders</x:v>
      </x:c>
      <x:c r="Q4" s="26" t="str">
        <x:v>Balustrades, pool fencing, frameless showers, mirrors, commercial glazing, partitions/fitouts, shopfronts, canopies</x:v>
      </x:c>
      <x:c r="R4" s="26" t="str">
        <x:v>End-to-end installation; premium finish; clear communication; builder relationships</x:v>
      </x:c>
      <x:c r="S4" s="26" t="str">
        <x:v>Not verified</x:v>
      </x:c>
      <x:c r="T4" s="26" t="str">
        <x:v>Auckland specialist; WGANZ member</x:v>
      </x:c>
      <x:c r="U4" s="26" t="str">
        <x:v>WGANZ</x:v>
      </x:c>
      <x:c r="V4" s="26" t="str">
        <x:v>Active project-led LinkedIn presence; builder/project collaborations visible</x:v>
      </x:c>
      <x:c r="W4" s="26" t="str">
        <x:v>Projects, builders, SEO pages, quote UX, reviews, social cadence</x:v>
      </x:c>
      <x:c r="X4" s="26" t="str">
        <x:f>IF(COUNTA(C4,D4,H4,I4)=4,"High",IF(COUNTA(C4,D4,H4,I4)&gt;=2,"Medium","Low"))</x:f>
        <x:v>High</x:v>
      </x:c>
      <x:c r="Y4" s="26" t="str">
        <x:v>2026-08-21</x:v>
      </x:c>
      <x:c r="Z4" s="26" t="str">
        <x:v>https://www.360glass.co.nz/ ; https://www.360glass.co.nz/contact/</x:v>
      </x:c>
    </x:row>
    <x:row r="5">
      <x:c r="A5" s="26" t="str">
        <x:v>A+</x:v>
      </x:c>
      <x:c r="B5" s="26" t="str">
        <x:v>Auckland Frameless | Designer Glass</x:v>
      </x:c>
      <x:c r="C5" s="26" t="str">
        <x:v>https://www.aucklandframeless.co.nz/</x:v>
      </x:c>
      <x:c r="D5" s="26" t="str">
        <x:v>Not publicly verified</x:v>
      </x:c>
      <x:c r="E5" s="26" t="str">
        <x:v>Auckland</x:v>
      </x:c>
      <x:c r="F5" s="26" t="str">
        <x:v>Auckland</x:v>
      </x:c>
      <x:c r="G5" s="26" t="str">
        <x:v>Auckland</x:v>
      </x:c>
      <x:c r="H5" s="26" t="str">
        <x:v>0508 266 753 / 021 835 824</x:v>
      </x:c>
      <x:c r="I5" s="26" t="str">
        <x:v>johnspencer@aucklandframeless.co.nz</x:v>
      </x:c>
      <x:c r="J5" s="26" t="str">
        <x:v>Not verified</x:v>
      </x:c>
      <x:c r="K5" s="26" t="str">
        <x:v>Not verified</x:v>
      </x:c>
      <x:c r="L5" s="26" t="str">
        <x:v>https://nz.linkedin.com/company/auckland-frameless-_designer-glass</x:v>
      </x:c>
      <x:c r="M5" s="28" t="n">
        <x:v>5</x:v>
      </x:c>
      <x:c r="N5" s="30" t="n">
        <x:v>4</x:v>
      </x:c>
      <x:c r="O5" s="30" t="n">
        <x:f>IF(N5="","",N5-'Royal Benchmark'!$B$7)</x:f>
        <x:v>-68</x:v>
      </x:c>
      <x:c r="P5" s="26" t="str">
        <x:v>Residential + commercial; designers, architects, builders, homeowners</x:v>
      </x:c>
      <x:c r="Q5" s="26" t="str">
        <x:v>Frameless showers, balustrades, splashbacks, mirrors, pool fencing, designer/custom glass</x:v>
      </x:c>
      <x:c r="R5" s="26" t="str">
        <x:v>Owner-led custom frameless specialist; value-focused bespoke work</x:v>
      </x:c>
      <x:c r="S5" s="26" t="str">
        <x:v>John Spencer</x:v>
      </x:c>
      <x:c r="T5" s="26" t="str">
        <x:v>2–10 employees on LinkedIn; founded 2006</x:v>
      </x:c>
      <x:c r="U5" s="26" t="str">
        <x:v>Not verified</x:v>
      </x:c>
      <x:c r="V5" s="26" t="str">
        <x:v>Small company; LinkedIn presence, limited review volume</x:v>
      </x:c>
      <x:c r="W5" s="26" t="str">
        <x:v>Auckland pricing/positioning, custom work, designer/architect relationships</x:v>
      </x:c>
      <x:c r="X5" s="26" t="str">
        <x:f>IF(COUNTA(C5,D5,H5,I5)=4,"High",IF(COUNTA(C5,D5,H5,I5)&gt;=2,"Medium","Low"))</x:f>
        <x:v>High</x:v>
      </x:c>
      <x:c r="Y5" s="26" t="str">
        <x:v>2026-08-21</x:v>
      </x:c>
      <x:c r="Z5" s="26" t="str">
        <x:v>https://www.aucklandframeless.co.nz/ ; https://nz.linkedin.com/company/auckland-frameless-_designer-glass</x:v>
      </x:c>
    </x:row>
    <x:row r="6">
      <x:c r="A6" s="26" t="str">
        <x:v>A+</x:v>
      </x:c>
      <x:c r="B6" s="26" t="str">
        <x:v>Glass Projects</x:v>
      </x:c>
      <x:c r="C6" s="26" t="str">
        <x:v>https://glassprojects.co.nz/</x:v>
      </x:c>
      <x:c r="D6" s="26" t="str">
        <x:v>11A Ra Ora Drive, Highbrook, Auckland 2013</x:v>
      </x:c>
      <x:c r="E6" s="26" t="str">
        <x:v>Auckland</x:v>
      </x:c>
      <x:c r="F6" s="26" t="str">
        <x:v>Auckland</x:v>
      </x:c>
      <x:c r="G6" s="26" t="str">
        <x:v>New Zealand projects; Auckland base</x:v>
      </x:c>
      <x:c r="H6" s="26" t="str">
        <x:v>09 273 2929</x:v>
      </x:c>
      <x:c r="I6" s="26" t="str">
        <x:v>maria@glassprojects.co.nz</x:v>
      </x:c>
      <x:c r="J6" s="26" t="str">
        <x:v>Not verified</x:v>
      </x:c>
      <x:c r="K6" s="26" t="str">
        <x:v>Not verified</x:v>
      </x:c>
      <x:c r="L6" s="26" t="str">
        <x:v>Not verified</x:v>
      </x:c>
      <x:c r="M6" s="28" t="n">
        <x:v>4.2</x:v>
      </x:c>
      <x:c r="N6" s="30" t="n">
        <x:v>5</x:v>
      </x:c>
      <x:c r="O6" s="30" t="n">
        <x:f>IF(N6="","",N6-'Royal Benchmark'!$B$7)</x:f>
        <x:v>-67</x:v>
      </x:c>
      <x:c r="P6" s="26" t="str">
        <x:v>Commercial + architectural; architects, specifiers, construction companies</x:v>
      </x:c>
      <x:c r="Q6" s="26" t="str">
        <x:v>Facades, partitions, frameless doors/shopfronts, balustrades, canopies, mirror cladding, pool fences, showers</x:v>
      </x:c>
      <x:c r="R6" s="26" t="str">
        <x:v>Long-established architectural glazing specialist; project/design capability</x:v>
      </x:c>
      <x:c r="S6" s="26" t="str">
        <x:v>Murray Clark – Managing Director</x:v>
      </x:c>
      <x:c r="T6" s="26" t="str">
        <x:v>Established 1967</x:v>
      </x:c>
      <x:c r="U6" s="26" t="str">
        <x:v>Industry project credentials</x:v>
      </x:c>
      <x:c r="V6" s="26" t="str">
        <x:v>Strong portfolio/case-study positioning; commercial credibility</x:v>
      </x:c>
      <x:c r="W6" s="26" t="str">
        <x:v>Architect/builder content, project case studies, specification language, commercial lead capture</x:v>
      </x:c>
      <x:c r="X6" s="26" t="str">
        <x:f>IF(COUNTA(C6,D6,H6,I6)=4,"High",IF(COUNTA(C6,D6,H6,I6)&gt;=2,"Medium","Low"))</x:f>
        <x:v>High</x:v>
      </x:c>
      <x:c r="Y6" s="26" t="str">
        <x:v>2026-08-21</x:v>
      </x:c>
      <x:c r="Z6" s="26" t="str">
        <x:v>https://glassprojects.co.nz/ ; https://glassprojects.co.nz/about</x:v>
      </x:c>
    </x:row>
    <x:row r="7">
      <x:c r="A7" s="26" t="str">
        <x:v>A+</x:v>
      </x:c>
      <x:c r="B7" s="26" t="str">
        <x:v>CM Glass</x:v>
      </x:c>
      <x:c r="C7" s="26" t="str">
        <x:v>https://www.cmglass.nz/</x:v>
      </x:c>
      <x:c r="D7" s="26" t="str">
        <x:v>5 Norris Avenue, Te Rapa, Hamilton 3200</x:v>
      </x:c>
      <x:c r="E7" s="26" t="str">
        <x:v>Hamilton</x:v>
      </x:c>
      <x:c r="F7" s="26" t="str">
        <x:v>Waikato</x:v>
      </x:c>
      <x:c r="G7" s="26" t="str">
        <x:v>Waikato, Auckland, Bay of Plenty, Taranaki</x:v>
      </x:c>
      <x:c r="H7" s="26" t="str">
        <x:v>0800 264 5277 / 07 849 6554</x:v>
      </x:c>
      <x:c r="I7" s="26" t="str">
        <x:v>info@cmglass.nz</x:v>
      </x:c>
      <x:c r="J7" s="26" t="str">
        <x:v>Official site links to Facebook; URL not captured</x:v>
      </x:c>
      <x:c r="K7" s="26" t="str">
        <x:v>Not verified</x:v>
      </x:c>
      <x:c r="L7" s="26" t="str">
        <x:v>https://nz.linkedin.com/company/cm-glass-ltd</x:v>
      </x:c>
      <x:c r="M7" s="28" t="n">
        <x:v>4.5</x:v>
      </x:c>
      <x:c r="N7" s="30" t="n">
        <x:v>34</x:v>
      </x:c>
      <x:c r="O7" s="30" t="n">
        <x:f>IF(N7="","",N7-'Royal Benchmark'!$B$7)</x:f>
        <x:v>-38</x:v>
      </x:c>
      <x:c r="P7" s="26" t="str">
        <x:v>Residential + commercial</x:v>
      </x:c>
      <x:c r="Q7" s="26" t="str">
        <x:v>Balustrades, pool fencing, showers, mirrors, frameless doors/entrances, facades, canopies, aluminium joinery maintenance, double glazing</x:v>
      </x:c>
      <x:c r="R7" s="26" t="str">
        <x:v>Broad glazing capability; local manufacturing; 24/7 service</x:v>
      </x:c>
      <x:c r="S7" s="26" t="str">
        <x:v>Not verified</x:v>
      </x:c>
      <x:c r="T7" s="26" t="str">
        <x:v>Approx. 12–15 staff stated across site/LinkedIn</x:v>
      </x:c>
      <x:c r="U7" s="26" t="str">
        <x:v>WGANZ / IGUMA / Site Safe references</x:v>
      </x:c>
      <x:c r="V7" s="26" t="str">
        <x:v>LinkedIn company presence; broad service messaging</x:v>
      </x:c>
      <x:c r="W7" s="26" t="str">
        <x:v>Regional SEO, commercial glazing, service breadth, trust badges</x:v>
      </x:c>
      <x:c r="X7" s="26" t="str">
        <x:f>IF(COUNTA(C7,D7,H7,I7)=4,"High",IF(COUNTA(C7,D7,H7,I7)&gt;=2,"Medium","Low"))</x:f>
        <x:v>High</x:v>
      </x:c>
      <x:c r="Y7" s="26" t="str">
        <x:v>2026-08-21</x:v>
      </x:c>
      <x:c r="Z7" s="26" t="str">
        <x:v>https://www.cmglass.nz/ ; https://www.cmglass.nz/contact ; https://nz.linkedin.com/company/cm-glass-ltd</x:v>
      </x:c>
    </x:row>
    <x:row r="8">
      <x:c r="A8" s="26" t="str">
        <x:v>A+</x:v>
      </x:c>
      <x:c r="B8" s="26" t="str">
        <x:v>Glass &amp; Glazing Ltd</x:v>
      </x:c>
      <x:c r="C8" s="26" t="str">
        <x:v>https://glassandglazing.co.nz/</x:v>
      </x:c>
      <x:c r="D8" s="26" t="str">
        <x:v>15 West Street, Frankton, Hamilton 3204</x:v>
      </x:c>
      <x:c r="E8" s="26" t="str">
        <x:v>Hamilton</x:v>
      </x:c>
      <x:c r="F8" s="26" t="str">
        <x:v>Waikato</x:v>
      </x:c>
      <x:c r="G8" s="26" t="str">
        <x:v>Hamilton + greater Waikato</x:v>
      </x:c>
      <x:c r="H8" s="26" t="str">
        <x:v>07 847 1911</x:v>
      </x:c>
      <x:c r="I8" s="26" t="str">
        <x:v>admin@glassandglazing.co.nz</x:v>
      </x:c>
      <x:c r="J8" s="26" t="str">
        <x:v>Not verified</x:v>
      </x:c>
      <x:c r="K8" s="26" t="str">
        <x:v>Not verified</x:v>
      </x:c>
      <x:c r="L8" s="26" t="str">
        <x:v>Not verified</x:v>
      </x:c>
      <x:c r="M8" s="28" t="n">
        <x:v>4.9</x:v>
      </x:c>
      <x:c r="N8" s="30" t="n">
        <x:v>34</x:v>
      </x:c>
      <x:c r="O8" s="30" t="n">
        <x:f>IF(N8="","",N8-'Royal Benchmark'!$B$7)</x:f>
        <x:v>-38</x:v>
      </x:c>
      <x:c r="P8" s="26" t="str">
        <x:v>Residential + commercial</x:v>
      </x:c>
      <x:c r="Q8" s="26" t="str">
        <x:v>Glass balustrades, commercial glass fitouts, frameless showers, general glazing</x:v>
      </x:c>
      <x:c r="R8" s="26" t="str">
        <x:v>Family/local business with long operating history</x:v>
      </x:c>
      <x:c r="S8" s="26" t="str">
        <x:v>Duncan MacLeod / Craig Freemantle – Directors</x:v>
      </x:c>
      <x:c r="T8" s="26" t="str">
        <x:v>Established 1979</x:v>
      </x:c>
      <x:c r="U8" s="26" t="str">
        <x:v>WGANZ member</x:v>
      </x:c>
      <x:c r="V8" s="26" t="str">
        <x:v>Traditional local-service positioning</x:v>
      </x:c>
      <x:c r="W8" s="26" t="str">
        <x:v>Reviews, Waikato local SEO, commercial fitout pages, longevity proof</x:v>
      </x:c>
      <x:c r="X8" s="26" t="str">
        <x:f>IF(COUNTA(C8,D8,H8,I8)=4,"High",IF(COUNTA(C8,D8,H8,I8)&gt;=2,"Medium","Low"))</x:f>
        <x:v>High</x:v>
      </x:c>
      <x:c r="Y8" s="26" t="str">
        <x:v>2026-08-21</x:v>
      </x:c>
      <x:c r="Z8" s="26" t="str">
        <x:v>https://glassandglazing.co.nz/ ; https://glassandglazing.co.nz/about/</x:v>
      </x:c>
    </x:row>
    <x:row r="9">
      <x:c r="A9" s="26" t="str">
        <x:v>A+</x:v>
      </x:c>
      <x:c r="B9" s="26" t="str">
        <x:v>NZ Frameless Glass</x:v>
      </x:c>
      <x:c r="C9" s="26" t="str">
        <x:v>https://www.nzfglass.co.nz/</x:v>
      </x:c>
      <x:c r="D9" s="26" t="str">
        <x:v>15 Kairua Road, Hornby, Christchurch 8025</x:v>
      </x:c>
      <x:c r="E9" s="26" t="str">
        <x:v>Christchurch</x:v>
      </x:c>
      <x:c r="F9" s="26" t="str">
        <x:v>Canterbury</x:v>
      </x:c>
      <x:c r="G9" s="26" t="str">
        <x:v>South Island</x:v>
      </x:c>
      <x:c r="H9" s="26" t="str">
        <x:v>0800 333 545</x:v>
      </x:c>
      <x:c r="I9" s="26" t="str">
        <x:v>info@nzfglass.co.nz / quote@nzfglass.co.nz</x:v>
      </x:c>
      <x:c r="J9" s="26" t="str">
        <x:v>Not verified</x:v>
      </x:c>
      <x:c r="K9" s="26" t="str">
        <x:v>Not verified</x:v>
      </x:c>
      <x:c r="L9" s="26" t="str">
        <x:v>https://nz.linkedin.com/company/nz-frameless-glass-ltd</x:v>
      </x:c>
      <x:c r="M9" s="28" t="n">
        <x:v>4.2</x:v>
      </x:c>
      <x:c r="N9" s="30" t="n">
        <x:v>37</x:v>
      </x:c>
      <x:c r="O9" s="30" t="n">
        <x:f>IF(N9="","",N9-'Royal Benchmark'!$B$7)</x:f>
        <x:v>-35</x:v>
      </x:c>
      <x:c r="P9" s="26" t="str">
        <x:v>Residential + commercial</x:v>
      </x:c>
      <x:c r="Q9" s="26" t="str">
        <x:v>Balustrades, pool fencing, commercial fitouts, frameless showers, splashbacks, mirrors</x:v>
      </x:c>
      <x:c r="R9" s="26" t="str">
        <x:v>Dedicated frameless-glass specialist with South Island coverage</x:v>
      </x:c>
      <x:c r="S9" s="26" t="str">
        <x:v>Aaron Graham / Joshua Simcock – Founders</x:v>
      </x:c>
      <x:c r="T9" s="26" t="str">
        <x:v>2–10 employees on LinkedIn; founded 2012</x:v>
      </x:c>
      <x:c r="U9" s="26" t="str">
        <x:v>Site Safe</x:v>
      </x:c>
      <x:c r="V9" s="26" t="str">
        <x:v>LinkedIn presence; specialist frameless positioning</x:v>
      </x:c>
      <x:c r="W9" s="26" t="str">
        <x:v>Service architecture, South Island SEO, commercial fitouts, frameless brand positioning</x:v>
      </x:c>
      <x:c r="X9" s="26" t="str">
        <x:f>IF(COUNTA(C9,D9,H9,I9)=4,"High",IF(COUNTA(C9,D9,H9,I9)&gt;=2,"Medium","Low"))</x:f>
        <x:v>High</x:v>
      </x:c>
      <x:c r="Y9" s="26" t="str">
        <x:v>2026-08-21</x:v>
      </x:c>
      <x:c r="Z9" s="26" t="str">
        <x:v>https://www.nzfglass.co.nz/about-us/ ; https://nz.linkedin.com/company/nz-frameless-glass-ltd</x:v>
      </x:c>
    </x:row>
    <x:row r="10">
      <x:c r="A10" s="26" t="str">
        <x:v>A+</x:v>
      </x:c>
      <x:c r="B10" s="26" t="str">
        <x:v>Stake Glass</x:v>
      </x:c>
      <x:c r="C10" s="26" t="str">
        <x:v>https://www.stakeglass.co.nz/</x:v>
      </x:c>
      <x:c r="D10" s="26" t="str">
        <x:v>3 Distribution Lane, Sockburn, Christchurch 8042</x:v>
      </x:c>
      <x:c r="E10" s="26" t="str">
        <x:v>Christchurch</x:v>
      </x:c>
      <x:c r="F10" s="26" t="str">
        <x:v>Canterbury</x:v>
      </x:c>
      <x:c r="G10" s="26" t="str">
        <x:v>Christchurch + partner installer network across South Island</x:v>
      </x:c>
      <x:c r="H10" s="26" t="str">
        <x:v>03 348 7778</x:v>
      </x:c>
      <x:c r="I10" s="26" t="str">
        <x:v>onlinesales@stakeglass.co.nz</x:v>
      </x:c>
      <x:c r="J10" s="26" t="str">
        <x:v>https://www.facebook.com/stake-glass-1717748691770164</x:v>
      </x:c>
      <x:c r="K10" s="26" t="str">
        <x:v>Not verified</x:v>
      </x:c>
      <x:c r="L10" s="26" t="str">
        <x:v>https://nz.linkedin.com/company/stake-glass</x:v>
      </x:c>
      <x:c r="M10" s="28" t="n">
        <x:v>4.8</x:v>
      </x:c>
      <x:c r="N10" s="30" t="n">
        <x:v>62</x:v>
      </x:c>
      <x:c r="O10" s="30" t="n">
        <x:f>IF(N10="","",N10-'Royal Benchmark'!$B$7)</x:f>
        <x:v>-10</x:v>
      </x:c>
      <x:c r="P10" s="26" t="str">
        <x:v>Retailers, fabricators, builders, glaziers, homeowners; residential + commercial</x:v>
      </x:c>
      <x:c r="Q10" s="26" t="str">
        <x:v>Frameless balustrades, side-fixed/standoff systems, showers, reeded/fluted glass, partitions, glass doors, mirrors, pool fencing, double glazing</x:v>
      </x:c>
      <x:c r="R10" s="26" t="str">
        <x:v>Independent glass manufacturer; broad catalogue; technical/product education</x:v>
      </x:c>
      <x:c r="S10" s="26" t="str">
        <x:v>Brent Dawson – CEO; Tracy Camm – Marketing Manager</x:v>
      </x:c>
      <x:c r="T10" s="26" t="str">
        <x:v>LinkedIn indicates 51–200 employees</x:v>
      </x:c>
      <x:c r="U10" s="26" t="str">
        <x:v>WGANZ; independent testing / BRANZ references</x:v>
      </x:c>
      <x:c r="V10" s="26" t="str">
        <x:v>Strong current LinkedIn activity; product education; named marketing function</x:v>
      </x:c>
      <x:c r="W10" s="26" t="str">
        <x:v>Exact-keyword SEO, LinkedIn content, product education, reeded/fluted pages, review growth</x:v>
      </x:c>
      <x:c r="X10" s="26" t="str">
        <x:f>IF(COUNTA(C10,D10,H10,I10)=4,"High",IF(COUNTA(C10,D10,H10,I10)&gt;=2,"Medium","Low"))</x:f>
        <x:v>High</x:v>
      </x:c>
      <x:c r="Y10" s="26" t="str">
        <x:v>2026-08-21</x:v>
      </x:c>
      <x:c r="Z10" s="26" t="str">
        <x:v>https://www.stakeglass.co.nz/ ; https://www.stakeglass.co.nz/Glass-Products/Frameless-Glass-Balustrades/ ; https://www.stakeglass.co.nz/Glass-Products/Frameless-Glass-Showers/</x:v>
      </x:c>
    </x:row>
    <x:row r="11">
      <x:c r="A11" s="26" t="str">
        <x:v>A+</x:v>
      </x:c>
      <x:c r="B11" s="26" t="str">
        <x:v>Remarkable Glass Ltd</x:v>
      </x:c>
      <x:c r="C11" s="26" t="str">
        <x:v>https://remarkableglass.co.nz/</x:v>
      </x:c>
      <x:c r="D11" s="26" t="str">
        <x:v>157 Glenda Drive, Frankton, Queenstown 9300</x:v>
      </x:c>
      <x:c r="E11" s="26" t="str">
        <x:v>Queenstown</x:v>
      </x:c>
      <x:c r="F11" s="26" t="str">
        <x:v>Otago</x:v>
      </x:c>
      <x:c r="G11" s="26" t="str">
        <x:v>Queenstown, Wakatipu, Arrowtown, Central Otago</x:v>
      </x:c>
      <x:c r="H11" s="26" t="str">
        <x:v>03 451 0002 / 0274 333 369</x:v>
      </x:c>
      <x:c r="I11" s="26" t="str">
        <x:v>info@remarkableglass.co.nz</x:v>
      </x:c>
      <x:c r="J11" s="26" t="str">
        <x:v>https://www.facebook.com/RemarkableGlass/</x:v>
      </x:c>
      <x:c r="K11" s="26" t="str">
        <x:v>Not verified</x:v>
      </x:c>
      <x:c r="L11" s="26" t="str">
        <x:v>Not verified</x:v>
      </x:c>
      <x:c r="M11" s="28" t="n">
        <x:v>4.9</x:v>
      </x:c>
      <x:c r="N11" s="30" t="n">
        <x:v>15</x:v>
      </x:c>
      <x:c r="O11" s="30" t="n">
        <x:f>IF(N11="","",N11-'Royal Benchmark'!$B$7)</x:f>
        <x:v>-57</x:v>
      </x:c>
      <x:c r="P11" s="26" t="str">
        <x:v>Residential + commercial</x:v>
      </x:c>
      <x:c r="Q11" s="26" t="str">
        <x:v>Face/side-fixed and aluminium-framed balustrades, pool fences/gates, frameless showers, mirrors, doors, office partitions, shopfronts, canopies</x:v>
      </x:c>
      <x:c r="R11" s="26" t="str">
        <x:v>Broad architectural/residential glazing with a strong project portfolio</x:v>
      </x:c>
      <x:c r="S11" s="26" t="str">
        <x:v>Scott Power – Director</x:v>
      </x:c>
      <x:c r="T11" s="26" t="str">
        <x:v>Team cites 125 years combined experience</x:v>
      </x:c>
      <x:c r="U11" s="26" t="str">
        <x:v>Not verified</x:v>
      </x:c>
      <x:c r="V11" s="26" t="str">
        <x:v>Portfolio-led site; project imagery across multiple systems</x:v>
      </x:c>
      <x:c r="W11" s="26" t="str">
        <x:v>Project gallery, mounting-system pages, Queenstown premium positioning, commercial work</x:v>
      </x:c>
      <x:c r="X11" s="26" t="str">
        <x:f>IF(COUNTA(C11,D11,H11,I11)=4,"High",IF(COUNTA(C11,D11,H11,I11)&gt;=2,"Medium","Low"))</x:f>
        <x:v>High</x:v>
      </x:c>
      <x:c r="Y11" s="26" t="str">
        <x:v>2026-08-21</x:v>
      </x:c>
      <x:c r="Z11" s="26" t="str">
        <x:v>https://remarkableglass.co.nz/ ; https://remarkableglass.co.nz/contact-us/</x:v>
      </x:c>
    </x:row>
    <x:row r="12">
      <x:c r="A12" s="26" t="str">
        <x:v>A+</x:v>
      </x:c>
      <x:c r="B12" s="26" t="str">
        <x:v>Metro Performance Glass</x:v>
      </x:c>
      <x:c r="C12" s="26" t="str">
        <x:v>https://metroglass.co.nz/</x:v>
      </x:c>
      <x:c r="D12" s="26" t="str">
        <x:v>5 Lady Fisher Place, East Tāmaki, Auckland 2013</x:v>
      </x:c>
      <x:c r="E12" s="26" t="str">
        <x:v>Auckland</x:v>
      </x:c>
      <x:c r="F12" s="26" t="str">
        <x:v>Nationwide</x:v>
      </x:c>
      <x:c r="G12" s="26" t="str">
        <x:v>Nationwide branch network</x:v>
      </x:c>
      <x:c r="H12" s="26" t="str">
        <x:v>0800 545 800 / 09 927 3000</x:v>
      </x:c>
      <x:c r="I12" s="26" t="str">
        <x:v>akl@metroglass.co.nz / info@metroglass.co.nz</x:v>
      </x:c>
      <x:c r="J12" s="26" t="str">
        <x:v>https://www.facebook.com/metroglassnz/</x:v>
      </x:c>
      <x:c r="K12" s="26" t="str">
        <x:v>https://www.instagram.com/metroglassnz/</x:v>
      </x:c>
      <x:c r="L12" s="26" t="str">
        <x:v>https://nz.linkedin.com/company/metro-performance-glass</x:v>
      </x:c>
      <x:c r="M12" s="28" t="n">
        <x:v>3.5</x:v>
      </x:c>
      <x:c r="N12" s="30" t="n">
        <x:v>22</x:v>
      </x:c>
      <x:c r="O12" s="30" t="n">
        <x:f>IF(N12="","",N12-'Royal Benchmark'!$B$7)</x:f>
        <x:v>-50</x:v>
      </x:c>
      <x:c r="P12" s="26" t="str">
        <x:v>Residential + commercial + trade; nationwide</x:v>
      </x:c>
      <x:c r="Q12" s="26" t="str">
        <x:v>Frameless balustrades, showers, mirrors, partitions, canopies, shopfronts, custom/decorative glass, double glazing</x:v>
      </x:c>
      <x:c r="R12" s="26" t="str">
        <x:v>Large nationwide manufacturer/installer; powerful branch SEO footprint</x:v>
      </x:c>
      <x:c r="S12" s="26" t="str">
        <x:v>Not verified</x:v>
      </x:c>
      <x:c r="T12" s="26" t="str">
        <x:v>LinkedIn: 1,001–5,000; founded 1986; ~900 staff stated</x:v>
      </x:c>
      <x:c r="U12" s="26" t="str">
        <x:v>Large-scale manufacturing / branch network</x:v>
      </x:c>
      <x:c r="V12" s="26" t="str">
        <x:v>4,000+ LinkedIn followers; frequent company updates; multi-channel social</x:v>
      </x:c>
      <x:c r="W12" s="26" t="str">
        <x:v>National SEO structure, branch pages, content scale, social publishing, trade relationships</x:v>
      </x:c>
      <x:c r="X12" s="26" t="str">
        <x:f>IF(COUNTA(C12,D12,H12,I12)=4,"High",IF(COUNTA(C12,D12,H12,I12)&gt;=2,"Medium","Low"))</x:f>
        <x:v>High</x:v>
      </x:c>
      <x:c r="Y12" s="26" t="str">
        <x:v>2026-08-21</x:v>
      </x:c>
      <x:c r="Z12" s="26" t="str">
        <x:v>https://metroglass.co.nz/ ; https://metroglass.co.nz/find-a-branch/auckland ; https://nz.linkedin.com/company/metro-performance-glass</x:v>
      </x:c>
    </x:row>
    <x:row r="13">
      <x:c r="A13" s="26" t="str">
        <x:v>A+</x:v>
      </x:c>
      <x:c r="B13" s="26" t="str">
        <x:v>Viridian Glass NZ</x:v>
      </x:c>
      <x:c r="C13" s="26" t="str">
        <x:v>https://www.viridianglass.co.nz/</x:v>
      </x:c>
      <x:c r="D13" s="26" t="str">
        <x:v>15 Waiouru Road, East Tāmaki, Auckland 2013</x:v>
      </x:c>
      <x:c r="E13" s="26" t="str">
        <x:v>Auckland</x:v>
      </x:c>
      <x:c r="F13" s="26" t="str">
        <x:v>Nationwide</x:v>
      </x:c>
      <x:c r="G13" s="26" t="str">
        <x:v>Nationwide branches including Auckland, Whangārei, Hamilton, Tauranga, Palmerston North, Napier, Wellington, Nelson, Christchurch, Blenheim, Dunedin, Cromwell</x:v>
      </x:c>
      <x:c r="H13" s="26" t="str">
        <x:v>0800 847 434</x:v>
      </x:c>
      <x:c r="I13" s="26" t="str">
        <x:v>info@viridianglass.co.nz</x:v>
      </x:c>
      <x:c r="J13" s="26" t="str">
        <x:v>https://www.facebook.com/viridianglassnz</x:v>
      </x:c>
      <x:c r="K13" s="26" t="str">
        <x:v>Not verified</x:v>
      </x:c>
      <x:c r="L13" s="26" t="str">
        <x:v>https://nz.linkedin.com/company/viridian-glass-limited-partnership</x:v>
      </x:c>
      <x:c r="M13" s="28" t="n">
        <x:v>3.5</x:v>
      </x:c>
      <x:c r="N13" s="30" t="n">
        <x:v>11</x:v>
      </x:c>
      <x:c r="O13" s="30" t="n">
        <x:f>IF(N13="","",N13-'Royal Benchmark'!$B$7)</x:f>
        <x:v>-61</x:v>
      </x:c>
      <x:c r="P13" s="26" t="str">
        <x:v>Residential + commercial + architectural; nationwide</x:v>
      </x:c>
      <x:c r="Q13" s="26" t="str">
        <x:v>Balustrades, showers, glass doors, pool fences, partitions, facades, canopies, mirrors, bespoke glass, double glazing</x:v>
      </x:c>
      <x:c r="R13" s="26" t="str">
        <x:v>Large vertically integrated glass manufacturer/supplier/installer</x:v>
      </x:c>
      <x:c r="S13" s="26" t="str">
        <x:v>Not verified</x:v>
      </x:c>
      <x:c r="T13" s="26" t="str">
        <x:v>LinkedIn: 501–1,000 employees; 1,849 followers; 130+ years history stated</x:v>
      </x:c>
      <x:c r="U13" s="26" t="str">
        <x:v>National manufacturing + branch network</x:v>
      </x:c>
      <x:c r="V13" s="26" t="str">
        <x:v>Large LinkedIn audience; educational glass-selector/calculator content</x:v>
      </x:c>
      <x:c r="W13" s="26" t="str">
        <x:v>Interactive tools, branch SEO, technical education, nationwide authority content</x:v>
      </x:c>
      <x:c r="X13" s="26" t="str">
        <x:f>IF(COUNTA(C13,D13,H13,I13)=4,"High",IF(COUNTA(C13,D13,H13,I13)&gt;=2,"Medium","Low"))</x:f>
        <x:v>High</x:v>
      </x:c>
      <x:c r="Y13" s="26" t="str">
        <x:v>2026-08-21</x:v>
      </x:c>
      <x:c r="Z13" s="26" t="str">
        <x:v>https://www.viridianglass.co.nz/ ; https://www.viridianglass.co.nz/new-zealand-local-branches/ ; https://nz.linkedin.com/company/viridian-glass-limited-partnership</x:v>
      </x:c>
    </x:row>
    <x:row r="14">
      <x:c r="A14" s="26" t="str">
        <x:v>A</x:v>
      </x:c>
      <x:c r="B14" s="26" t="str">
        <x:v>Tauranga Glass Ltd</x:v>
      </x:c>
      <x:c r="C14" s="26" t="str">
        <x:v>https://taurangaglass.co.nz/</x:v>
      </x:c>
      <x:c r="D14" s="26" t="str">
        <x:v>295 Fraser Street, Tauranga 3112</x:v>
      </x:c>
      <x:c r="E14" s="26" t="str">
        <x:v>Tauranga</x:v>
      </x:c>
      <x:c r="F14" s="26" t="str">
        <x:v>Bay of Plenty</x:v>
      </x:c>
      <x:c r="G14" s="26" t="str">
        <x:v>Tauranga, Mount Maunganui, Pāpāmoa and surroundings</x:v>
      </x:c>
      <x:c r="H14" s="26" t="str">
        <x:v>07 571 3324</x:v>
      </x:c>
      <x:c r="I14" s="26" t="str">
        <x:v>info@taurangaglass.co.nz</x:v>
      </x:c>
      <x:c r="J14" s="26" t="str">
        <x:v>Facebook page verified externally; direct URL not captured</x:v>
      </x:c>
      <x:c r="K14" s="26" t="str">
        <x:v>Not verified</x:v>
      </x:c>
      <x:c r="L14" s="26" t="str">
        <x:v>Not verified</x:v>
      </x:c>
      <x:c r="M14" s="28" t="n">
        <x:v>4.8</x:v>
      </x:c>
      <x:c r="N14" s="30" t="n">
        <x:v>154</x:v>
      </x:c>
      <x:c r="O14" s="30" t="n">
        <x:f>IF(N14="","",N14-'Royal Benchmark'!$B$7)</x:f>
        <x:v>82</x:v>
      </x:c>
      <x:c r="P14" s="26" t="str">
        <x:v>Residential + light commercial</x:v>
      </x:c>
      <x:c r="Q14" s="26" t="str">
        <x:v>Balustrades, frameless showers, mirrors, splashbacks, repairs, custom glass, retrofit, marine glazing</x:v>
      </x:c>
      <x:c r="R14" s="26" t="str">
        <x:v>Established local full-service glazier with exceptional review volume</x:v>
      </x:c>
      <x:c r="S14" s="26" t="str">
        <x:v>Not verified</x:v>
      </x:c>
      <x:c r="T14" s="26" t="str">
        <x:v>Site states team of about 10</x:v>
      </x:c>
      <x:c r="U14" s="26" t="str">
        <x:v>Not verified</x:v>
      </x:c>
      <x:c r="V14" s="26" t="str">
        <x:v>Very strong Google review footprint</x:v>
      </x:c>
      <x:c r="W14" s="26" t="str">
        <x:v>Review acquisition, local SEO, service reputation, conversion trust</x:v>
      </x:c>
      <x:c r="X14" s="26" t="str">
        <x:f>IF(COUNTA(C14,D14,H14,I14)=4,"High",IF(COUNTA(C14,D14,H14,I14)&gt;=2,"Medium","Low"))</x:f>
        <x:v>High</x:v>
      </x:c>
      <x:c r="Y14" s="26" t="str">
        <x:v>2026-08-21</x:v>
      </x:c>
      <x:c r="Z14" s="26" t="str">
        <x:v>https://taurangaglass.co.nz/ ; https://taurangaglass.co.nz/contact-us/</x:v>
      </x:c>
    </x:row>
    <x:row r="15">
      <x:c r="A15" s="26" t="str">
        <x:v>A</x:v>
      </x:c>
      <x:c r="B15" s="26" t="str">
        <x:v>Clarity Glass Otago</x:v>
      </x:c>
      <x:c r="C15" s="26" t="str">
        <x:v>https://www.clarityglass.nz/</x:v>
      </x:c>
      <x:c r="D15" s="26" t="str">
        <x:v>38A Paterson Road, Mosgiel, Dunedin 9092</x:v>
      </x:c>
      <x:c r="E15" s="26" t="str">
        <x:v>Dunedin</x:v>
      </x:c>
      <x:c r="F15" s="26" t="str">
        <x:v>Otago</x:v>
      </x:c>
      <x:c r="G15" s="26" t="str">
        <x:v>Dunedin, Otago, Central Otago</x:v>
      </x:c>
      <x:c r="H15" s="26" t="str">
        <x:v>027 844 7166</x:v>
      </x:c>
      <x:c r="I15" s="26" t="str">
        <x:v>hello@clarityglass.nz</x:v>
      </x:c>
      <x:c r="J15" s="26" t="str">
        <x:v>Not verified</x:v>
      </x:c>
      <x:c r="K15" s="26" t="str">
        <x:v>Not verified</x:v>
      </x:c>
      <x:c r="L15" s="26" t="str">
        <x:v>Not verified</x:v>
      </x:c>
      <x:c r="M15" s="28" t="n">
        <x:v>5</x:v>
      </x:c>
      <x:c r="N15" s="30" t="n">
        <x:v>15</x:v>
      </x:c>
      <x:c r="O15" s="30" t="n">
        <x:f>IF(N15="","",N15-'Royal Benchmark'!$B$7)</x:f>
        <x:v>-57</x:v>
      </x:c>
      <x:c r="P15" s="26" t="str">
        <x:v>Residential + bespoke glazing</x:v>
      </x:c>
      <x:c r="Q15" s="26" t="str">
        <x:v>Frameless showers/screens/doors, splashbacks, mirrors, balustrades, retrofit glazing</x:v>
      </x:c>
      <x:c r="R15" s="26" t="str">
        <x:v>Boutique specialist; ClearShield positioning</x:v>
      </x:c>
      <x:c r="S15" s="26" t="str">
        <x:v>Taylor Fiddes – Founder</x:v>
      </x:c>
      <x:c r="T15" s="26" t="str">
        <x:v>Founder cites 9+ years glass experience</x:v>
      </x:c>
      <x:c r="U15" s="26" t="str">
        <x:v>ClearShield licensed installer claim</x:v>
      </x:c>
      <x:c r="V15" s="26" t="str">
        <x:v>Boutique local positioning</x:v>
      </x:c>
      <x:c r="W15" s="26" t="str">
        <x:v>Premium homeowner messaging, coatings/easy-clean upsells, Otago SEO</x:v>
      </x:c>
      <x:c r="X15" s="26" t="str">
        <x:f>IF(COUNTA(C15,D15,H15,I15)=4,"High",IF(COUNTA(C15,D15,H15,I15)&gt;=2,"Medium","Low"))</x:f>
        <x:v>High</x:v>
      </x:c>
      <x:c r="Y15" s="26" t="str">
        <x:v>2026-08-21</x:v>
      </x:c>
      <x:c r="Z15" s="26" t="str">
        <x:v>https://www.clarityglass.nz/</x:v>
      </x:c>
    </x:row>
    <x:row r="16">
      <x:c r="A16" s="26" t="str">
        <x:v>A</x:v>
      </x:c>
      <x:c r="B16" s="26" t="str">
        <x:v>Central Glass &amp; Aluminium Ltd</x:v>
      </x:c>
      <x:c r="C16" s="26" t="str">
        <x:v>https://cggl.co.nz/</x:v>
      </x:c>
      <x:c r="D16" s="26" t="str">
        <x:v>713 Tremaine Avenue, Palmerston North 4410</x:v>
      </x:c>
      <x:c r="E16" s="26" t="str">
        <x:v>Palmerston North</x:v>
      </x:c>
      <x:c r="F16" s="26" t="str">
        <x:v>Manawatū-Whanganui</x:v>
      </x:c>
      <x:c r="G16" s="26" t="str">
        <x:v>Manawatū / central North Island</x:v>
      </x:c>
      <x:c r="H16" s="26" t="str">
        <x:v>06 355 0202</x:v>
      </x:c>
      <x:c r="I16" s="26" t="str">
        <x:v>quotes@cggl.co.nz / damian@cggl.co.nz</x:v>
      </x:c>
      <x:c r="J16" s="26" t="str">
        <x:v>Not verified</x:v>
      </x:c>
      <x:c r="K16" s="26" t="str">
        <x:v>Not verified</x:v>
      </x:c>
      <x:c r="L16" s="26" t="str">
        <x:v>Not verified</x:v>
      </x:c>
      <x:c r="M16" s="28" t="n">
        <x:v>4.2</x:v>
      </x:c>
      <x:c r="N16" s="30" t="n">
        <x:v>27</x:v>
      </x:c>
      <x:c r="O16" s="30" t="n">
        <x:f>IF(N16="","",N16-'Royal Benchmark'!$B$7)</x:f>
        <x:v>-45</x:v>
      </x:c>
      <x:c r="P16" s="26" t="str">
        <x:v>Residential + commercial</x:v>
      </x:c>
      <x:c r="Q16" s="26" t="str">
        <x:v>Balustrades, frameless doors, pool fencing, showers, splashbacks, glass &amp; glazing, aluminium windows/doors</x:v>
      </x:c>
      <x:c r="R16" s="26" t="str">
        <x:v>Glass + aluminium one-stop capability</x:v>
      </x:c>
      <x:c r="S16" s="26" t="str">
        <x:v>Damian (contact listed by WGANZ)</x:v>
      </x:c>
      <x:c r="T16" s="26" t="str">
        <x:v>Established regional operator</x:v>
      </x:c>
      <x:c r="U16" s="26" t="str">
        <x:v>WGANZ member</x:v>
      </x:c>
      <x:c r="V16" s="26" t="str">
        <x:v>Recent hiring/activity signals capacity investment</x:v>
      </x:c>
      <x:c r="W16" s="26" t="str">
        <x:v>Glass+aluminium cross-sell, hiring/growth, regional SEO, product breadth</x:v>
      </x:c>
      <x:c r="X16" s="26" t="str">
        <x:f>IF(COUNTA(C16,D16,H16,I16)=4,"High",IF(COUNTA(C16,D16,H16,I16)&gt;=2,"Medium","Low"))</x:f>
        <x:v>High</x:v>
      </x:c>
      <x:c r="Y16" s="26" t="str">
        <x:v>2026-08-21</x:v>
      </x:c>
      <x:c r="Z16" s="26" t="str">
        <x:v>https://cggl.co.nz/ ; https://www.wganz.org.nz/members/central-glass-aluminium-ltd/</x:v>
      </x:c>
    </x:row>
    <x:row r="17">
      <x:c r="A17" s="26" t="str">
        <x:v>A</x:v>
      </x:c>
      <x:c r="B17" s="26" t="str">
        <x:v>Sterling Glass</x:v>
      </x:c>
      <x:c r="C17" s="26" t="str">
        <x:v>https://www.sterlingglass.nz/</x:v>
      </x:c>
      <x:c r="D17" s="26" t="str">
        <x:v>Not publicly verified</x:v>
      </x:c>
      <x:c r="E17" s="26" t="str">
        <x:v>Auckland</x:v>
      </x:c>
      <x:c r="F17" s="26" t="str">
        <x:v>Auckland</x:v>
      </x:c>
      <x:c r="G17" s="26" t="str">
        <x:v>Auckland and wider area</x:v>
      </x:c>
      <x:c r="H17" s="26" t="str">
        <x:v>021 259 4250</x:v>
      </x:c>
      <x:c r="I17" s="26" t="str">
        <x:v>andrew@sterlingglass.nz</x:v>
      </x:c>
      <x:c r="J17" s="26" t="str">
        <x:v>https://www.facebook.com/sterlingglass</x:v>
      </x:c>
      <x:c r="K17" s="26" t="str">
        <x:v>https://www.instagram.com/sterling_glass_auckland/</x:v>
      </x:c>
      <x:c r="L17" s="26" t="str">
        <x:v>Not verified</x:v>
      </x:c>
      <x:c r="M17" s="28"/>
      <x:c r="N17" s="30"/>
      <x:c r="O17" s="30" t="str">
        <x:f>IF(N17="","",N17-'Royal Benchmark'!$B$7)</x:f>
      </x:c>
      <x:c r="P17" s="26" t="str">
        <x:v>Residential; custom installations</x:v>
      </x:c>
      <x:c r="Q17" s="26" t="str">
        <x:v>Frameless showers including sliding doors, mirrors incl. gyms, splashbacks, balustrades for balconies/stairs/decks/pools</x:v>
      </x:c>
      <x:c r="R17" s="26" t="str">
        <x:v>Small custom installer; 5-year component warranty; direct owner/installer positioning</x:v>
      </x:c>
      <x:c r="S17" s="26" t="str">
        <x:v>Andrew – contact/installer</x:v>
      </x:c>
      <x:c r="T17" s="26" t="str">
        <x:v>Small specialist</x:v>
      </x:c>
      <x:c r="U17" s="26" t="str">
        <x:v>5-year warranty stated</x:v>
      </x:c>
      <x:c r="V17" s="26" t="str">
        <x:v>Clear Instagram/Facebook handles; visual-service fit</x:v>
      </x:c>
      <x:c r="W17" s="26" t="str">
        <x:v>Social creative, gym mirrors, shower design options, warranty messaging</x:v>
      </x:c>
      <x:c r="X17" s="26" t="str">
        <x:f>IF(COUNTA(C17,D17,H17,I17)=4,"High",IF(COUNTA(C17,D17,H17,I17)&gt;=2,"Medium","Low"))</x:f>
        <x:v>High</x:v>
      </x:c>
      <x:c r="Y17" s="26" t="str">
        <x:v>2026-08-21</x:v>
      </x:c>
      <x:c r="Z17" s="26" t="str">
        <x:v>https://www.sterlingglass.nz/</x:v>
      </x:c>
    </x:row>
    <x:row r="18">
      <x:c r="A18" s="26" t="str">
        <x:v>A+</x:v>
      </x:c>
      <x:c r="B18" s="26" t="str">
        <x:v>NZ Glass &amp; Glazing Ltd</x:v>
      </x:c>
      <x:c r="C18" s="26" t="str">
        <x:v>https://nzglass.co.nz/</x:v>
      </x:c>
      <x:c r="D18" s="26" t="str">
        <x:v>1 David McCathie Place, Silverdale, Auckland 0932</x:v>
      </x:c>
      <x:c r="E18" s="26" t="str">
        <x:v>Auckland</x:v>
      </x:c>
      <x:c r="F18" s="26" t="str">
        <x:v>Auckland</x:v>
      </x:c>
      <x:c r="G18" s="26" t="str">
        <x:v>Auckland / North Shore / Rodney; commercial and residential</x:v>
      </x:c>
      <x:c r="H18" s="26" t="str">
        <x:v>0800 69 45 27</x:v>
      </x:c>
      <x:c r="I18" s="26" t="str">
        <x:v>sales@nzglass.nz</x:v>
      </x:c>
      <x:c r="J18" s="26" t="str">
        <x:v>Not verified</x:v>
      </x:c>
      <x:c r="K18" s="26" t="str">
        <x:v>Not verified</x:v>
      </x:c>
      <x:c r="L18" s="26" t="str">
        <x:v>Not verified</x:v>
      </x:c>
      <x:c r="M18" s="28" t="n">
        <x:v>4.2</x:v>
      </x:c>
      <x:c r="N18" s="30" t="n">
        <x:v>39</x:v>
      </x:c>
      <x:c r="O18" s="30" t="n">
        <x:f>IF(N18="","",N18-'Royal Benchmark'!$B$7)</x:f>
        <x:v>-33</x:v>
      </x:c>
      <x:c r="P18" s="26" t="str">
        <x:v>Residential + commercial + architectural</x:v>
      </x:c>
      <x:c r="Q18" s="26" t="str">
        <x:v>Frameless balustrades, pool fencing, mirrors, splashbacks, internal partitions, frameless showers, canopies, shopfronts, smart glass</x:v>
      </x:c>
      <x:c r="R18" s="26" t="str">
        <x:v>100% NZ-owned; local manufacture; broad architectural/commercial capability incl. smart glass</x:v>
      </x:c>
      <x:c r="S18" s="26" t="str">
        <x:v>Andrew McCathie / Kalem Good / David Whitburn – directors</x:v>
      </x:c>
      <x:c r="T18" s="26" t="str">
        <x:v>Registered 2010 under current company</x:v>
      </x:c>
      <x:c r="U18" s="26" t="str">
        <x:v>WGANZ listing / local manufacturing</x:v>
      </x:c>
      <x:c r="V18" s="26" t="str">
        <x:v>Broad solution messaging; smart-glass differentiator</x:v>
      </x:c>
      <x:c r="W18" s="26" t="str">
        <x:v>Auckland direct overlap, smart glass, architectural pages, commercial partitions, quote UX</x:v>
      </x:c>
      <x:c r="X18" s="26" t="str">
        <x:f>IF(COUNTA(C18,D18,H18,I18)=4,"High",IF(COUNTA(C18,D18,H18,I18)&gt;=2,"Medium","Low"))</x:f>
        <x:v>High</x:v>
      </x:c>
      <x:c r="Y18" s="26" t="str">
        <x:v>2026-08-21</x:v>
      </x:c>
      <x:c r="Z18" s="26" t="str">
        <x:v>https://nzglass.co.nz/ ; https://nzglass.co.nz/balustrades/ ; https://nzglass.co.nz/showers/</x:v>
      </x:c>
    </x:row>
    <x:row r="19">
      <x:c r="A19" s="26" t="str">
        <x:v>B+</x:v>
      </x:c>
      <x:c r="B19" s="26" t="str">
        <x:v>Wellington Glass &amp; Mirror</x:v>
      </x:c>
      <x:c r="C19" s="26" t="str">
        <x:v>https://wellingtonglass.co.nz/</x:v>
      </x:c>
      <x:c r="D19" s="26" t="str">
        <x:v>Birchville Park Unit 7/489 Hutt Road, Alicetown, Lower Hutt 5010</x:v>
      </x:c>
      <x:c r="E19" s="26" t="str">
        <x:v>Lower Hutt</x:v>
      </x:c>
      <x:c r="F19" s="26" t="str">
        <x:v>Wellington</x:v>
      </x:c>
      <x:c r="G19" s="26" t="str">
        <x:v>Wellington, Hutt Valley, Porirua, Kapiti (service varies by product)</x:v>
      </x:c>
      <x:c r="H19" s="26" t="str">
        <x:v>04 389 5555 / 0800 GLASS 4 U</x:v>
      </x:c>
      <x:c r="I19" s="26" t="str">
        <x:v>info@wellingtonglass.co.nz</x:v>
      </x:c>
      <x:c r="J19" s="26" t="str">
        <x:v>Official Facebook linked on website</x:v>
      </x:c>
      <x:c r="K19" s="26" t="str">
        <x:v>Official Instagram linked on website</x:v>
      </x:c>
      <x:c r="L19" s="26" t="str">
        <x:v>Official LinkedIn linked on website</x:v>
      </x:c>
      <x:c r="M19" s="28" t="n">
        <x:v>4.9</x:v>
      </x:c>
      <x:c r="N19" s="30" t="n">
        <x:v>356</x:v>
      </x:c>
      <x:c r="O19" s="30" t="n">
        <x:f>IF(N19="","",N19-'Royal Benchmark'!$B$7)</x:f>
        <x:v>284</x:v>
      </x:c>
      <x:c r="P19" s="26" t="str">
        <x:v>Residential + light commercial; homeowners, builders, architects, property managers</x:v>
      </x:c>
      <x:c r="Q19" s="26" t="str">
        <x:v>Frameless showers, custom mirrors, balustrades, overhead glazing, retrofit double glazing, general glazing</x:v>
      </x:c>
      <x:c r="R19" s="26" t="str">
        <x:v>25+ years; strong local brand and review moat</x:v>
      </x:c>
      <x:c r="S19" s="26" t="str">
        <x:v>Pete &amp; Lyn Jolly – Owners</x:v>
      </x:c>
      <x:c r="T19" s="26" t="str">
        <x:v>25+ years</x:v>
      </x:c>
      <x:c r="U19" s="26" t="str">
        <x:v>Trade-certified glazing team / NZ Glass Standards Advisors</x:v>
      </x:c>
      <x:c r="V19" s="26" t="str">
        <x:v>Strong review footprint; official FB/IG/LinkedIn linked</x:v>
      </x:c>
      <x:c r="W19" s="26" t="str">
        <x:v>Review system, local SEO, retrofit cross-sell, trust/team proof</x:v>
      </x:c>
      <x:c r="X19" s="26" t="str">
        <x:f>IF(COUNTA(C19,D19,H19,I19)=4,"High",IF(COUNTA(C19,D19,H19,I19)&gt;=2,"Medium","Low"))</x:f>
        <x:v>High</x:v>
      </x:c>
      <x:c r="Y19" s="26" t="str">
        <x:v>2026-08-21</x:v>
      </x:c>
      <x:c r="Z19" s="26" t="str">
        <x:v>https://wellingtonglass.co.nz/glass-company-wellington/ ; https://wellingtonglass.co.nz/about</x:v>
      </x:c>
    </x:row>
    <x:row r="20">
      <x:c r="A20" s="26" t="str">
        <x:v>B+</x:v>
      </x:c>
      <x:c r="B20" s="26" t="str">
        <x:v>Glass Group Wellington</x:v>
      </x:c>
      <x:c r="C20" s="26" t="str">
        <x:v>https://www.glassgroup.co.nz/</x:v>
      </x:c>
      <x:c r="D20" s="26" t="str">
        <x:v>Unit 1/33 Pito-One Road, Korokoro, Lower Hutt 5012</x:v>
      </x:c>
      <x:c r="E20" s="26" t="str">
        <x:v>Lower Hutt</x:v>
      </x:c>
      <x:c r="F20" s="26" t="str">
        <x:v>Wellington</x:v>
      </x:c>
      <x:c r="G20" s="26" t="str">
        <x:v>Lower North Island + Otago via group locations</x:v>
      </x:c>
      <x:c r="H20" s="26" t="str">
        <x:v>0800 040 010</x:v>
      </x:c>
      <x:c r="I20" s="26" t="str">
        <x:v>Admin@glassgroup.co.nz</x:v>
      </x:c>
      <x:c r="J20" s="26" t="str">
        <x:v>Not verified</x:v>
      </x:c>
      <x:c r="K20" s="26" t="str">
        <x:v>Not verified</x:v>
      </x:c>
      <x:c r="L20" s="26" t="str">
        <x:v>Not verified</x:v>
      </x:c>
      <x:c r="M20" s="28" t="n">
        <x:v>4.9</x:v>
      </x:c>
      <x:c r="N20" s="30" t="n">
        <x:v>16</x:v>
      </x:c>
      <x:c r="O20" s="30" t="n">
        <x:f>IF(N20="","",N20-'Royal Benchmark'!$B$7)</x:f>
        <x:v>-56</x:v>
      </x:c>
      <x:c r="P20" s="26" t="str">
        <x:v>Commercial + residential; project glazing</x:v>
      </x:c>
      <x:c r="Q20" s="26" t="str">
        <x:v>End-to-end glazing contractor; design, engineering, estimating, onsite glazing</x:v>
      </x:c>
      <x:c r="R20" s="26" t="str">
        <x:v>Project-delivery, engineering and commercial scale; sustainability/recycling proof</x:v>
      </x:c>
      <x:c r="S20" s="26" t="str">
        <x:v>Not verified</x:v>
      </x:c>
      <x:c r="T20" s="26" t="str">
        <x:v>50+ professional employees stated; 10,564+ projects stated</x:v>
      </x:c>
      <x:c r="U20" s="26" t="str">
        <x:v>Health &amp; Safety / sustainability messaging</x:v>
      </x:c>
      <x:c r="V20" s="26" t="str">
        <x:v>Corporate/project-led positioning</x:v>
      </x:c>
      <x:c r="W20" s="26" t="str">
        <x:v>Commercial project credentials, sustainability metrics, engineering/design capability</x:v>
      </x:c>
      <x:c r="X20" s="26" t="str">
        <x:f>IF(COUNTA(C20,D20,H20,I20)=4,"High",IF(COUNTA(C20,D20,H20,I20)&gt;=2,"Medium","Low"))</x:f>
        <x:v>High</x:v>
      </x:c>
      <x:c r="Y20" s="26" t="str">
        <x:v>2026-08-21</x:v>
      </x:c>
      <x:c r="Z20" s="26" t="str">
        <x:v>https://www.glassgroup.co.nz/</x:v>
      </x:c>
    </x:row>
    <x:row r="21">
      <x:c r="A21" s="26" t="str">
        <x:v>B+</x:v>
      </x:c>
      <x:c r="B21" s="26" t="str">
        <x:v>Supreme Balustrades</x:v>
      </x:c>
      <x:c r="C21" s="26" t="str">
        <x:v>https://supremebalustrades.co.nz/</x:v>
      </x:c>
      <x:c r="D21" s="26" t="str">
        <x:v>9 George Daniels Drive, Trentham, Upper Hutt 5018</x:v>
      </x:c>
      <x:c r="E21" s="26" t="str">
        <x:v>Upper Hutt</x:v>
      </x:c>
      <x:c r="F21" s="26" t="str">
        <x:v>Wellington</x:v>
      </x:c>
      <x:c r="G21" s="26" t="str">
        <x:v>Greater Wellington</x:v>
      </x:c>
      <x:c r="H21" s="26" t="str">
        <x:v>04 939 3645</x:v>
      </x:c>
      <x:c r="I21" s="26" t="str">
        <x:v>Not verified</x:v>
      </x:c>
      <x:c r="J21" s="26" t="str">
        <x:v>Not verified</x:v>
      </x:c>
      <x:c r="K21" s="26" t="str">
        <x:v>Not verified</x:v>
      </x:c>
      <x:c r="L21" s="26" t="str">
        <x:v>Not verified</x:v>
      </x:c>
      <x:c r="M21" s="28" t="n">
        <x:v>5</x:v>
      </x:c>
      <x:c r="N21" s="30" t="n">
        <x:v>34</x:v>
      </x:c>
      <x:c r="O21" s="30" t="n">
        <x:f>IF(N21="","",N21-'Royal Benchmark'!$B$7)</x:f>
        <x:v>-38</x:v>
      </x:c>
      <x:c r="P21" s="26" t="str">
        <x:v>Residential + commercial; homeowners, contractors, building specifiers</x:v>
      </x:c>
      <x:c r="Q21" s="26" t="str">
        <x:v>Framed/semi-frameless/frameless balustrades, glass/aluminium/stainless, pool fences, handrails, canopies, showers, mirrors</x:v>
      </x:c>
      <x:c r="R21" s="26" t="str">
        <x:v>Balustrade specialist; design/fabrication/installation; aggressive price-match promotion</x:v>
      </x:c>
      <x:c r="S21" s="26" t="str">
        <x:v>Giles – owner/operator</x:v>
      </x:c>
      <x:c r="T21" s="26" t="str">
        <x:v>20+ years industry experience</x:v>
      </x:c>
      <x:c r="U21" s="26" t="str">
        <x:v>NZ-made product emphasis</x:v>
      </x:c>
      <x:c r="V21" s="26" t="str">
        <x:v>Strong offer-led messaging: beat competitor quote / 10% discount</x:v>
      </x:c>
      <x:c r="W21" s="26" t="str">
        <x:v>Pricing offers, balustrade system breadth, handrails, outdoor showroom, quote conversion</x:v>
      </x:c>
      <x:c r="X21" s="26" t="str">
        <x:f>IF(COUNTA(C21,D21,H21,I21)=4,"High",IF(COUNTA(C21,D21,H21,I21)&gt;=2,"Medium","Low"))</x:f>
        <x:v>High</x:v>
      </x:c>
      <x:c r="Y21" s="26" t="str">
        <x:v>2026-08-21</x:v>
      </x:c>
      <x:c r="Z21" s="26" t="str">
        <x:v>https://supremebalustrades.co.nz/ ; https://supremebalustrades.co.nz/about/</x:v>
      </x:c>
    </x:row>
    <x:row r="22">
      <x:c r="A22" s="26" t="str">
        <x:v>B+</x:v>
      </x:c>
      <x:c r="B22" s="26" t="str">
        <x:v>Northland Specialty Glass</x:v>
      </x:c>
      <x:c r="C22" s="26" t="str">
        <x:v>https://specialtyglass.co.nz/</x:v>
      </x:c>
      <x:c r="D22" s="26" t="str">
        <x:v>150 Lower Dent Street, Whangārei 0110</x:v>
      </x:c>
      <x:c r="E22" s="26" t="str">
        <x:v>Whangārei</x:v>
      </x:c>
      <x:c r="F22" s="26" t="str">
        <x:v>Northland</x:v>
      </x:c>
      <x:c r="G22" s="26" t="str">
        <x:v>Northland from Wellsford to Cape</x:v>
      </x:c>
      <x:c r="H22" s="26" t="str">
        <x:v>0800 845 277</x:v>
      </x:c>
      <x:c r="I22" s="26" t="str">
        <x:v>info@specialtyglass.co.nz</x:v>
      </x:c>
      <x:c r="J22" s="26" t="str">
        <x:v>Official Facebook linked on website</x:v>
      </x:c>
      <x:c r="K22" s="26" t="str">
        <x:v>Not verified</x:v>
      </x:c>
      <x:c r="L22" s="26" t="str">
        <x:v>Not verified</x:v>
      </x:c>
      <x:c r="M22" s="28" t="n">
        <x:v>4.8</x:v>
      </x:c>
      <x:c r="N22" s="30" t="n">
        <x:v>210</x:v>
      </x:c>
      <x:c r="O22" s="30" t="n">
        <x:f>IF(N22="","",N22-'Royal Benchmark'!$B$7)</x:f>
        <x:v>138</x:v>
      </x:c>
      <x:c r="P22" s="26" t="str">
        <x:v>Residential + commercial; builders, property managers, homeowners</x:v>
      </x:c>
      <x:c r="Q22" s="26" t="str">
        <x:v>Balustrades, pool fencing, showers, mirrors, textured glass, commercial glazing, repairs</x:v>
      </x:c>
      <x:c r="R22" s="26" t="str">
        <x:v>Largest independent locally owned glazing company in Northland (company claim); regional authority</x:v>
      </x:c>
      <x:c r="S22" s="26" t="str">
        <x:v>Alan East – Director (Companies Office)</x:v>
      </x:c>
      <x:c r="T22" s="26" t="str">
        <x:v>Registered company since 2004</x:v>
      </x:c>
      <x:c r="U22" s="26" t="str">
        <x:v>Vetro Raccordi partner</x:v>
      </x:c>
      <x:c r="V22" s="26" t="str">
        <x:v>Strong reviews and local-region branding</x:v>
      </x:c>
      <x:c r="W22" s="26" t="str">
        <x:v>Review system, textured glass, local authority content, builder/property-manager targeting</x:v>
      </x:c>
      <x:c r="X22" s="26" t="str">
        <x:f>IF(COUNTA(C22,D22,H22,I22)=4,"High",IF(COUNTA(C22,D22,H22,I22)&gt;=2,"Medium","Low"))</x:f>
        <x:v>High</x:v>
      </x:c>
      <x:c r="Y22" s="26" t="str">
        <x:v>2026-08-21</x:v>
      </x:c>
      <x:c r="Z22" s="26" t="str">
        <x:v>https://specialtyglass.co.nz/ ; https://specialtyglass.co.nz/contact</x:v>
      </x:c>
    </x:row>
    <x:row r="23">
      <x:c r="A23" s="26" t="str">
        <x:v>B</x:v>
      </x:c>
      <x:c r="B23" s="26" t="str">
        <x:v>Pane Free Glazing</x:v>
      </x:c>
      <x:c r="C23" s="26" t="str">
        <x:v>https://panefreeglazing.co.nz/</x:v>
      </x:c>
      <x:c r="D23" s="26" t="str">
        <x:v>16B Herekino Street, Whangārei 0110</x:v>
      </x:c>
      <x:c r="E23" s="26" t="str">
        <x:v>Whangārei</x:v>
      </x:c>
      <x:c r="F23" s="26" t="str">
        <x:v>Northland</x:v>
      </x:c>
      <x:c r="G23" s="26" t="str">
        <x:v>Northland</x:v>
      </x:c>
      <x:c r="H23" s="26" t="str">
        <x:v>021 0298 0962</x:v>
      </x:c>
      <x:c r="I23" s="26" t="str">
        <x:v>Email published but masked in search result</x:v>
      </x:c>
      <x:c r="J23" s="26" t="str">
        <x:v>Not verified</x:v>
      </x:c>
      <x:c r="K23" s="26" t="str">
        <x:v>Not verified</x:v>
      </x:c>
      <x:c r="L23" s="26" t="str">
        <x:v>Not verified</x:v>
      </x:c>
      <x:c r="M23" s="28" t="n">
        <x:v>5</x:v>
      </x:c>
      <x:c r="N23" s="30" t="n">
        <x:v>21</x:v>
      </x:c>
      <x:c r="O23" s="30" t="n">
        <x:f>IF(N23="","",N23-'Royal Benchmark'!$B$7)</x:f>
        <x:v>-51</x:v>
      </x:c>
      <x:c r="P23" s="26" t="str">
        <x:v>Residential + commercial general glazing</x:v>
      </x:c>
      <x:c r="Q23" s="26" t="str">
        <x:v>Custom glass, mirrors, repairs, double glazing, window services</x:v>
      </x:c>
      <x:c r="R23" s="26" t="str">
        <x:v>Fast/local service; 100% Kiwi owned; long individual trade experience</x:v>
      </x:c>
      <x:c r="S23" s="26" t="str">
        <x:v>Luke Botica – Director</x:v>
      </x:c>
      <x:c r="T23" s="26" t="str">
        <x:v>19+ years experience stated; company registered 2024</x:v>
      </x:c>
      <x:c r="U23" s="26" t="str">
        <x:v>WGANZ recognition stated</x:v>
      </x:c>
      <x:c r="V23" s="26" t="str">
        <x:v>Local-service positioning</x:v>
      </x:c>
      <x:c r="W23" s="26" t="str">
        <x:v>Fast-response messaging, review quality, local SEO</x:v>
      </x:c>
      <x:c r="X23" s="26" t="str">
        <x:f>IF(COUNTA(C23,D23,H23,I23)=4,"High",IF(COUNTA(C23,D23,H23,I23)&gt;=2,"Medium","Low"))</x:f>
        <x:v>High</x:v>
      </x:c>
      <x:c r="Y23" s="26" t="str">
        <x:v>2026-08-21</x:v>
      </x:c>
      <x:c r="Z23" s="26" t="str">
        <x:v>https://panefreeglazing.co.nz/</x:v>
      </x:c>
    </x:row>
    <x:row r="24">
      <x:c r="A24" s="26" t="str">
        <x:v>B</x:v>
      </x:c>
      <x:c r="B24" s="26" t="str">
        <x:v>Balustrading and More</x:v>
      </x:c>
      <x:c r="C24" s="26" t="str">
        <x:v>https://www.balustradingandmore.co.nz/</x:v>
      </x:c>
      <x:c r="D24" s="26" t="str">
        <x:v>6/5 Colenso Street, Te Kamo, Whangārei 0112</x:v>
      </x:c>
      <x:c r="E24" s="26" t="str">
        <x:v>Whangārei</x:v>
      </x:c>
      <x:c r="F24" s="26" t="str">
        <x:v>Northland</x:v>
      </x:c>
      <x:c r="G24" s="26" t="str">
        <x:v>Whangārei, Kaipara, Bay of Islands</x:v>
      </x:c>
      <x:c r="H24" s="26" t="str">
        <x:v>09 435 3089 / 021 027 38904</x:v>
      </x:c>
      <x:c r="I24" s="26" t="str">
        <x:v>Not verified</x:v>
      </x:c>
      <x:c r="J24" s="26" t="str">
        <x:v>Not verified</x:v>
      </x:c>
      <x:c r="K24" s="26" t="str">
        <x:v>Not verified</x:v>
      </x:c>
      <x:c r="L24" s="26" t="str">
        <x:v>Not verified</x:v>
      </x:c>
      <x:c r="M24" s="28" t="n">
        <x:v>5</x:v>
      </x:c>
      <x:c r="N24" s="30" t="n">
        <x:v>1</x:v>
      </x:c>
      <x:c r="O24" s="30" t="n">
        <x:f>IF(N24="","",N24-'Royal Benchmark'!$B$7)</x:f>
        <x:v>-71</x:v>
      </x:c>
      <x:c r="P24" s="26" t="str">
        <x:v>Residential + balustrade/pool fencing specialists</x:v>
      </x:c>
      <x:c r="Q24" s="26" t="str">
        <x:v>Aluminium + glass balustrades, pool fencing, gates; face-fixed mini-post systems</x:v>
      </x:c>
      <x:c r="R24" s="26" t="str">
        <x:v>Juralco-focused specialist; small family business; installer-led sales</x:v>
      </x:c>
      <x:c r="S24" s="26" t="str">
        <x:v>Colin Somerville / Robert Webb – Founders</x:v>
      </x:c>
      <x:c r="T24" s="26" t="str">
        <x:v>Established 2010</x:v>
      </x:c>
      <x:c r="U24" s="26" t="str">
        <x:v>Juralco installer</x:v>
      </x:c>
      <x:c r="V24" s="26" t="str">
        <x:v>Detailed system/product pages</x:v>
      </x:c>
      <x:c r="W24" s="26" t="str">
        <x:v>Exact face-fixed/mini-post SEO, manufacturer relationships, installer-led content</x:v>
      </x:c>
      <x:c r="X24" s="26" t="str">
        <x:f>IF(COUNTA(C24,D24,H24,I24)=4,"High",IF(COUNTA(C24,D24,H24,I24)&gt;=2,"Medium","Low"))</x:f>
        <x:v>High</x:v>
      </x:c>
      <x:c r="Y24" s="26" t="str">
        <x:v>2026-08-21</x:v>
      </x:c>
      <x:c r="Z24" s="26" t="str">
        <x:v>https://www.balustradingandmore.co.nz/about ; https://www.balustradingandmore.co.nz/edgtec-frameless-glass</x:v>
      </x:c>
    </x:row>
    <x:row r="25">
      <x:c r="A25" s="26" t="str">
        <x:v>B</x:v>
      </x:c>
      <x:c r="B25" s="26" t="str">
        <x:v>Hastings Glazing Services Ltd</x:v>
      </x:c>
      <x:c r="C25" s="26" t="str">
        <x:v>https://hastingsglassandglazing.co.nz/</x:v>
      </x:c>
      <x:c r="D25" s="26" t="str">
        <x:v>Wall Road, Raureka, Hastings 4120</x:v>
      </x:c>
      <x:c r="E25" s="26" t="str">
        <x:v>Hastings</x:v>
      </x:c>
      <x:c r="F25" s="26" t="str">
        <x:v>Hawke's Bay</x:v>
      </x:c>
      <x:c r="G25" s="26" t="str">
        <x:v>Hastings, Napier, Havelock North and wider Hawke's Bay</x:v>
      </x:c>
      <x:c r="H25" s="26" t="str">
        <x:v>06 876 9333 / 0274 304002</x:v>
      </x:c>
      <x:c r="I25" s="26" t="str">
        <x:v>hastingsglazing@xtra.co.nz</x:v>
      </x:c>
      <x:c r="J25" s="26" t="str">
        <x:v>Not verified</x:v>
      </x:c>
      <x:c r="K25" s="26" t="str">
        <x:v>Not verified</x:v>
      </x:c>
      <x:c r="L25" s="26" t="str">
        <x:v>Not verified</x:v>
      </x:c>
      <x:c r="M25" s="28" t="n">
        <x:v>4.9</x:v>
      </x:c>
      <x:c r="N25" s="30" t="n">
        <x:v>156</x:v>
      </x:c>
      <x:c r="O25" s="30" t="n">
        <x:f>IF(N25="","",N25-'Royal Benchmark'!$B$7)</x:f>
        <x:v>84</x:v>
      </x:c>
      <x:c r="P25" s="26" t="str">
        <x:v>Residential + commercial repairs/glazing</x:v>
      </x:c>
      <x:c r="Q25" s="26" t="str">
        <x:v>Commercial/residential glazing, mirrors, splashbacks, double glazing, repairs</x:v>
      </x:c>
      <x:c r="R25" s="26" t="str">
        <x:v>24-hour callout; zero call-out fee messaging; highly experienced owner</x:v>
      </x:c>
      <x:c r="S25" s="26" t="str">
        <x:v>Andrew Piper – Owner</x:v>
      </x:c>
      <x:c r="T25" s="26" t="str">
        <x:v>30+ years glass/glazing experience</x:v>
      </x:c>
      <x:c r="U25" s="26" t="str">
        <x:v>WINZ-accredited emergency work stated</x:v>
      </x:c>
      <x:c r="V25" s="26" t="str">
        <x:v>Strong service-area SEO and testimonial footprint</x:v>
      </x:c>
      <x:c r="W25" s="26" t="str">
        <x:v>Emergency-service conversion, review acquisition, suburb SEO</x:v>
      </x:c>
      <x:c r="X25" s="26" t="str">
        <x:f>IF(COUNTA(C25,D25,H25,I25)=4,"High",IF(COUNTA(C25,D25,H25,I25)&gt;=2,"Medium","Low"))</x:f>
        <x:v>High</x:v>
      </x:c>
      <x:c r="Y25" s="26" t="str">
        <x:v>2026-08-21</x:v>
      </x:c>
      <x:c r="Z25" s="26" t="str">
        <x:v>https://hastingsglassandglazing.co.nz/</x:v>
      </x:c>
    </x:row>
    <x:row r="26">
      <x:c r="A26" s="26" t="str">
        <x:v>B</x:v>
      </x:c>
      <x:c r="B26" s="26" t="str">
        <x:v>Nichol Glass &amp; Aluminium</x:v>
      </x:c>
      <x:c r="C26" s="26" t="str">
        <x:v>https://nicholglass.co.nz/</x:v>
      </x:c>
      <x:c r="D26" s="26" t="str">
        <x:v>163 Awatoto Road, Awatoto, Napier 4112</x:v>
      </x:c>
      <x:c r="E26" s="26" t="str">
        <x:v>Napier</x:v>
      </x:c>
      <x:c r="F26" s="26" t="str">
        <x:v>Hawke's Bay</x:v>
      </x:c>
      <x:c r="G26" s="26" t="str">
        <x:v>Hawke's Bay</x:v>
      </x:c>
      <x:c r="H26" s="26" t="str">
        <x:v>06 844 7111</x:v>
      </x:c>
      <x:c r="I26" s="26" t="str">
        <x:v>info@nicholglassandaluminium.co.nz</x:v>
      </x:c>
      <x:c r="J26" s="26" t="str">
        <x:v>Not verified</x:v>
      </x:c>
      <x:c r="K26" s="26" t="str">
        <x:v>Not verified</x:v>
      </x:c>
      <x:c r="L26" s="26" t="str">
        <x:v>Not verified</x:v>
      </x:c>
      <x:c r="M26" s="28" t="n">
        <x:v>5</x:v>
      </x:c>
      <x:c r="N26" s="30" t="n">
        <x:v>25</x:v>
      </x:c>
      <x:c r="O26" s="30" t="n">
        <x:f>IF(N26="","",N26-'Royal Benchmark'!$B$7)</x:f>
        <x:v>-47</x:v>
      </x:c>
      <x:c r="P26" s="26" t="str">
        <x:v>Homeowners + builders; aluminium windows/doors</x:v>
      </x:c>
      <x:c r="Q26" s="26" t="str">
        <x:v>Glass + aluminium windows/doors, architectural series, performance glazing</x:v>
      </x:c>
      <x:c r="R26" s="26" t="str">
        <x:v>Long-established family business; aluminium + glazing expertise</x:v>
      </x:c>
      <x:c r="S26" s="26" t="str">
        <x:v>Not verified</x:v>
      </x:c>
      <x:c r="T26" s="26" t="str">
        <x:v>Operating since 1958</x:v>
      </x:c>
      <x:c r="U26" s="26" t="str">
        <x:v>WGANZ member</x:v>
      </x:c>
      <x:c r="V26" s="26" t="str">
        <x:v>Technical/product-system content</x:v>
      </x:c>
      <x:c r="W26" s="26" t="str">
        <x:v>Glass+aluminium cross-sell, builder relationships, thermal-performance content</x:v>
      </x:c>
      <x:c r="X26" s="26" t="str">
        <x:f>IF(COUNTA(C26,D26,H26,I26)=4,"High",IF(COUNTA(C26,D26,H26,I26)&gt;=2,"Medium","Low"))</x:f>
        <x:v>High</x:v>
      </x:c>
      <x:c r="Y26" s="26" t="str">
        <x:v>2026-08-21</x:v>
      </x:c>
      <x:c r="Z26" s="26" t="str">
        <x:v>https://nicholglass.co.nz/ ; https://www.wganz.org.nz/members/nichol-glass-aluminium-ltd/</x:v>
      </x:c>
    </x:row>
    <x:row r="27">
      <x:c r="A27" s="26" t="str">
        <x:v>B</x:v>
      </x:c>
      <x:c r="B27" s="26" t="str">
        <x:v>Napier Glass Limited</x:v>
      </x:c>
      <x:c r="C27" s="26" t="str">
        <x:v>Not verified</x:v>
      </x:c>
      <x:c r="D27" s="26" t="str">
        <x:v>20 Austin Street, Onekawa, Napier 4110</x:v>
      </x:c>
      <x:c r="E27" s="26" t="str">
        <x:v>Napier</x:v>
      </x:c>
      <x:c r="F27" s="26" t="str">
        <x:v>Hawke's Bay</x:v>
      </x:c>
      <x:c r="G27" s="26" t="str">
        <x:v>Hawke's Bay</x:v>
      </x:c>
      <x:c r="H27" s="26" t="str">
        <x:v>06 843 6481</x:v>
      </x:c>
      <x:c r="I27" s="26" t="str">
        <x:v>Not verified</x:v>
      </x:c>
      <x:c r="J27" s="26" t="str">
        <x:v>Not verified</x:v>
      </x:c>
      <x:c r="K27" s="26" t="str">
        <x:v>Not verified</x:v>
      </x:c>
      <x:c r="L27" s="26" t="str">
        <x:v>Not verified</x:v>
      </x:c>
      <x:c r="M27" s="28" t="n">
        <x:v>4.5</x:v>
      </x:c>
      <x:c r="N27" s="30" t="n">
        <x:v>59</x:v>
      </x:c>
      <x:c r="O27" s="30" t="n">
        <x:f>IF(N27="","",N27-'Royal Benchmark'!$B$7)</x:f>
        <x:v>-13</x:v>
      </x:c>
      <x:c r="P27" s="26" t="str">
        <x:v>General glazing</x:v>
      </x:c>
      <x:c r="Q27" s="26" t="str">
        <x:v>General glass / glazing</x:v>
      </x:c>
      <x:c r="R27" s="26" t="str">
        <x:v>Established local glazier</x:v>
      </x:c>
      <x:c r="S27" s="26" t="str">
        <x:v>Peter &amp; Lisa Mickleson – Directors</x:v>
      </x:c>
      <x:c r="T27" s="26" t="str">
        <x:v>Registered 2011</x:v>
      </x:c>
      <x:c r="U27" s="26" t="str">
        <x:v>Not verified</x:v>
      </x:c>
      <x:c r="V27" s="26" t="str">
        <x:v>Not verified</x:v>
      </x:c>
      <x:c r="W27" s="26" t="str">
        <x:v>Local SEO, reviews, service pricing</x:v>
      </x:c>
      <x:c r="X27" s="26" t="str">
        <x:f>IF(COUNTA(C27,D27,H27,I27)=4,"High",IF(COUNTA(C27,D27,H27,I27)&gt;=2,"Medium","Low"))</x:f>
        <x:v>High</x:v>
      </x:c>
      <x:c r="Y27" s="26" t="str">
        <x:v>2026-08-21</x:v>
      </x:c>
      <x:c r="Z27" s="26" t="str">
        <x:v>Data partially verified</x:v>
      </x:c>
    </x:row>
    <x:row r="28">
      <x:c r="A28" s="26" t="str">
        <x:v>B</x:v>
      </x:c>
      <x:c r="B28" s="26" t="str">
        <x:v>Dunedin Glass</x:v>
      </x:c>
      <x:c r="C28" s="26" t="str">
        <x:v>https://www.dunedinglass.co.nz/</x:v>
      </x:c>
      <x:c r="D28" s="26" t="str">
        <x:v>8 David Street, Caversham, Dunedin 9012</x:v>
      </x:c>
      <x:c r="E28" s="26" t="str">
        <x:v>Dunedin</x:v>
      </x:c>
      <x:c r="F28" s="26" t="str">
        <x:v>Otago</x:v>
      </x:c>
      <x:c r="G28" s="26" t="str">
        <x:v>Dunedin and surrounding areas</x:v>
      </x:c>
      <x:c r="H28" s="26" t="str">
        <x:v>03 455 3030</x:v>
      </x:c>
      <x:c r="I28" s="26" t="str">
        <x:v>dunedinglass@gmail.com</x:v>
      </x:c>
      <x:c r="J28" s="26" t="str">
        <x:v>Not verified</x:v>
      </x:c>
      <x:c r="K28" s="26" t="str">
        <x:v>Not verified</x:v>
      </x:c>
      <x:c r="L28" s="26" t="str">
        <x:v>Not verified</x:v>
      </x:c>
      <x:c r="M28" s="28" t="n">
        <x:v>4.9</x:v>
      </x:c>
      <x:c r="N28" s="30" t="n">
        <x:v>38</x:v>
      </x:c>
      <x:c r="O28" s="30" t="n">
        <x:f>IF(N28="","",N28-'Royal Benchmark'!$B$7)</x:f>
        <x:v>-34</x:v>
      </x:c>
      <x:c r="P28" s="26" t="str">
        <x:v>Residential glazing</x:v>
      </x:c>
      <x:c r="Q28" s="26" t="str">
        <x:v>Frameless showers/screens, mirrors, splashbacks, doors, repairs, retrofit double glazing</x:v>
      </x:c>
      <x:c r="R28" s="26" t="str">
        <x:v>Local tradesmanship/value positioning</x:v>
      </x:c>
      <x:c r="S28" s="26" t="str">
        <x:v>Not verified</x:v>
      </x:c>
      <x:c r="T28" s="26" t="str">
        <x:v>38 collective years experience stated</x:v>
      </x:c>
      <x:c r="U28" s="26" t="str">
        <x:v>Not verified</x:v>
      </x:c>
      <x:c r="V28" s="26" t="str">
        <x:v>Service-page SEO and strong local reviews</x:v>
      </x:c>
      <x:c r="W28" s="26" t="str">
        <x:v>Shower content, local SEO, speed/value messaging</x:v>
      </x:c>
      <x:c r="X28" s="26" t="str">
        <x:f>IF(COUNTA(C28,D28,H28,I28)=4,"High",IF(COUNTA(C28,D28,H28,I28)&gt;=2,"Medium","Low"))</x:f>
        <x:v>High</x:v>
      </x:c>
      <x:c r="Y28" s="26" t="str">
        <x:v>2026-08-21</x:v>
      </x:c>
      <x:c r="Z28" s="26" t="str">
        <x:v>https://www.dunedinglass.co.nz/ ; https://www.dunedinglass.co.nz/contact</x:v>
      </x:c>
    </x:row>
    <x:row r="29">
      <x:c r="A29" s="26" t="str">
        <x:v>B+</x:v>
      </x:c>
      <x:c r="B29" s="26" t="str">
        <x:v>Otago Glass Ltd</x:v>
      </x:c>
      <x:c r="C29" s="26" t="str">
        <x:v>https://www.otagoglass.co.nz/</x:v>
      </x:c>
      <x:c r="D29" s="26" t="str">
        <x:v>18 Otaki Street, South Dunedin, Dunedin 9012</x:v>
      </x:c>
      <x:c r="E29" s="26" t="str">
        <x:v>Dunedin</x:v>
      </x:c>
      <x:c r="F29" s="26" t="str">
        <x:v>Otago</x:v>
      </x:c>
      <x:c r="G29" s="26" t="str">
        <x:v>Otago</x:v>
      </x:c>
      <x:c r="H29" s="26" t="str">
        <x:v>03 455 3820</x:v>
      </x:c>
      <x:c r="I29" s="26" t="str">
        <x:v>office@otagoglass.co.nz</x:v>
      </x:c>
      <x:c r="J29" s="26" t="str">
        <x:v>Not verified</x:v>
      </x:c>
      <x:c r="K29" s="26" t="str">
        <x:v>Not verified</x:v>
      </x:c>
      <x:c r="L29" s="26" t="str">
        <x:v>Not verified</x:v>
      </x:c>
      <x:c r="M29" s="28" t="n">
        <x:v>4.9</x:v>
      </x:c>
      <x:c r="N29" s="30" t="n">
        <x:v>40</x:v>
      </x:c>
      <x:c r="O29" s="30" t="n">
        <x:f>IF(N29="","",N29-'Royal Benchmark'!$B$7)</x:f>
        <x:v>-32</x:v>
      </x:c>
      <x:c r="P29" s="26" t="str">
        <x:v>Residential + commercial</x:v>
      </x:c>
      <x:c r="Q29" s="26" t="str">
        <x:v>Glass balustrades, frameless shower doors, interior partitions, residential/commercial glazing, retrofit</x:v>
      </x:c>
      <x:c r="R29" s="26" t="str">
        <x:v>Full-service regional glazier; 24-hour emergency service</x:v>
      </x:c>
      <x:c r="S29" s="26" t="str">
        <x:v>Not verified</x:v>
      </x:c>
      <x:c r="T29" s="26" t="str">
        <x:v>Established regional operator</x:v>
      </x:c>
      <x:c r="U29" s="26" t="str">
        <x:v>WGANZ member</x:v>
      </x:c>
      <x:c r="V29" s="26" t="str">
        <x:v>Broad service SEO</x:v>
      </x:c>
      <x:c r="W29" s="26" t="str">
        <x:v>Commercial partitions, emergency service, regional reviews</x:v>
      </x:c>
      <x:c r="X29" s="26" t="str">
        <x:f>IF(COUNTA(C29,D29,H29,I29)=4,"High",IF(COUNTA(C29,D29,H29,I29)&gt;=2,"Medium","Low"))</x:f>
        <x:v>High</x:v>
      </x:c>
      <x:c r="Y29" s="26" t="str">
        <x:v>2026-08-21</x:v>
      </x:c>
      <x:c r="Z29" s="26" t="str">
        <x:v>https://www.otagoglass.co.nz/ ; https://www.wganz.org.nz/members/otago-glass-ltd/</x:v>
      </x:c>
    </x:row>
    <x:row r="30">
      <x:c r="A30" s="26" t="str">
        <x:v>B</x:v>
      </x:c>
      <x:c r="B30" s="26" t="str">
        <x:v>Otago Balustrades</x:v>
      </x:c>
      <x:c r="C30" s="26" t="str">
        <x:v>https://www.otagobalustrades.co.nz/</x:v>
      </x:c>
      <x:c r="D30" s="26" t="str">
        <x:v>552C Kaikorai Valley Road, Kenmure, Dunedin 9011</x:v>
      </x:c>
      <x:c r="E30" s="26" t="str">
        <x:v>Dunedin</x:v>
      </x:c>
      <x:c r="F30" s="26" t="str">
        <x:v>Otago</x:v>
      </x:c>
      <x:c r="G30" s="26" t="str">
        <x:v>Dunedin / Otago</x:v>
      </x:c>
      <x:c r="H30" s="26" t="str">
        <x:v>021 0228 5555</x:v>
      </x:c>
      <x:c r="I30" s="26" t="str">
        <x:v>info@otagobalustrades.co.nz</x:v>
      </x:c>
      <x:c r="J30" s="26" t="str">
        <x:v>Not verified</x:v>
      </x:c>
      <x:c r="K30" s="26" t="str">
        <x:v>Not verified</x:v>
      </x:c>
      <x:c r="L30" s="26" t="str">
        <x:v>Not verified</x:v>
      </x:c>
      <x:c r="M30" s="28"/>
      <x:c r="N30" s="30"/>
      <x:c r="O30" s="30" t="str">
        <x:f>IF(N30="","",N30-'Royal Benchmark'!$B$7)</x:f>
      </x:c>
      <x:c r="P30" s="26" t="str">
        <x:v>Residential + commercial balustrades</x:v>
      </x:c>
      <x:c r="Q30" s="26" t="str">
        <x:v>Aluminium framed glass, frameless/semi-frameless balustrades, pool fencing, handrails, commercial balustrades</x:v>
      </x:c>
      <x:c r="R30" s="26" t="str">
        <x:v>Dedicated Juralco balustrade specialist; NZ-made system positioning</x:v>
      </x:c>
      <x:c r="S30" s="26" t="str">
        <x:v>Not verified</x:v>
      </x:c>
      <x:c r="T30" s="26" t="str">
        <x:v>Specialist</x:v>
      </x:c>
      <x:c r="U30" s="26" t="str">
        <x:v>Juralco product systems</x:v>
      </x:c>
      <x:c r="V30" s="26" t="str">
        <x:v>Detailed product/system pages</x:v>
      </x:c>
      <x:c r="W30" s="26" t="str">
        <x:v>Balustrade system SEO, handrails, commercial systems, NZ-made proof</x:v>
      </x:c>
      <x:c r="X30" s="26" t="str">
        <x:f>IF(COUNTA(C30,D30,H30,I30)=4,"High",IF(COUNTA(C30,D30,H30,I30)&gt;=2,"Medium","Low"))</x:f>
        <x:v>High</x:v>
      </x:c>
      <x:c r="Y30" s="26" t="str">
        <x:v>2026-08-21</x:v>
      </x:c>
      <x:c r="Z30" s="26" t="str">
        <x:v>https://www.otagobalustrades.co.nz/ ; https://www.otagobalustrades.co.nz/products</x:v>
      </x:c>
    </x:row>
    <x:row r="31">
      <x:c r="A31" s="26" t="str">
        <x:v>B</x:v>
      </x:c>
      <x:c r="B31" s="26" t="str">
        <x:v>Canterbury Balustrade Limited</x:v>
      </x:c>
      <x:c r="C31" s="26" t="str">
        <x:v>Not verified</x:v>
      </x:c>
      <x:c r="D31" s="26" t="str">
        <x:v>185A Wordsworth Street, Sydenham, Christchurch 8023</x:v>
      </x:c>
      <x:c r="E31" s="26" t="str">
        <x:v>Christchurch</x:v>
      </x:c>
      <x:c r="F31" s="26" t="str">
        <x:v>Canterbury</x:v>
      </x:c>
      <x:c r="G31" s="26" t="str">
        <x:v>Canterbury</x:v>
      </x:c>
      <x:c r="H31" s="26" t="str">
        <x:v>03 366 5511</x:v>
      </x:c>
      <x:c r="I31" s="26" t="str">
        <x:v>Not verified</x:v>
      </x:c>
      <x:c r="J31" s="26" t="str">
        <x:v>Not verified</x:v>
      </x:c>
      <x:c r="K31" s="26" t="str">
        <x:v>Not verified</x:v>
      </x:c>
      <x:c r="L31" s="26" t="str">
        <x:v>Not verified</x:v>
      </x:c>
      <x:c r="M31" s="28" t="n">
        <x:v>5</x:v>
      </x:c>
      <x:c r="N31" s="30" t="n">
        <x:v>2</x:v>
      </x:c>
      <x:c r="O31" s="30" t="n">
        <x:f>IF(N31="","",N31-'Royal Benchmark'!$B$7)</x:f>
        <x:v>-70</x:v>
      </x:c>
      <x:c r="P31" s="26" t="str">
        <x:v>Balustrade manufacturing / installation</x:v>
      </x:c>
      <x:c r="Q31" s="26" t="str">
        <x:v>Balustrades</x:v>
      </x:c>
      <x:c r="R31" s="26" t="str">
        <x:v>Regional specialist</x:v>
      </x:c>
      <x:c r="S31" s="26" t="str">
        <x:v>Not verified</x:v>
      </x:c>
      <x:c r="T31" s="26" t="str">
        <x:v>Not verified</x:v>
      </x:c>
      <x:c r="U31" s="26" t="str">
        <x:v>Not verified</x:v>
      </x:c>
      <x:c r="V31" s="26" t="str">
        <x:v>Not verified</x:v>
      </x:c>
      <x:c r="W31" s="26" t="str">
        <x:v>Local balustrade competition</x:v>
      </x:c>
      <x:c r="X31" s="26" t="str">
        <x:f>IF(COUNTA(C31,D31,H31,I31)=4,"High",IF(COUNTA(C31,D31,H31,I31)&gt;=2,"Medium","Low"))</x:f>
        <x:v>High</x:v>
      </x:c>
      <x:c r="Y31" s="26" t="str">
        <x:v>2026-08-21</x:v>
      </x:c>
      <x:c r="Z31" s="26" t="str">
        <x:v>Data partially verified</x:v>
      </x:c>
    </x:row>
    <x:row r="32">
      <x:c r="A32" s="26" t="str">
        <x:v>B</x:v>
      </x:c>
      <x:c r="B32" s="26" t="str">
        <x:v>Gear Glass &amp; Glazing</x:v>
      </x:c>
      <x:c r="C32" s="26" t="str">
        <x:v>Not verified</x:v>
      </x:c>
      <x:c r="D32" s="26" t="str">
        <x:v>3/5 Tanner Street, Woolston, Christchurch 8023</x:v>
      </x:c>
      <x:c r="E32" s="26" t="str">
        <x:v>Christchurch</x:v>
      </x:c>
      <x:c r="F32" s="26" t="str">
        <x:v>Canterbury</x:v>
      </x:c>
      <x:c r="G32" s="26" t="str">
        <x:v>Christchurch</x:v>
      </x:c>
      <x:c r="H32" s="26" t="str">
        <x:v>027 434 2543</x:v>
      </x:c>
      <x:c r="I32" s="26" t="str">
        <x:v>Not verified</x:v>
      </x:c>
      <x:c r="J32" s="26" t="str">
        <x:v>Not verified</x:v>
      </x:c>
      <x:c r="K32" s="26" t="str">
        <x:v>Not verified</x:v>
      </x:c>
      <x:c r="L32" s="26" t="str">
        <x:v>Not verified</x:v>
      </x:c>
      <x:c r="M32" s="28" t="n">
        <x:v>4.8</x:v>
      </x:c>
      <x:c r="N32" s="30" t="n">
        <x:v>34</x:v>
      </x:c>
      <x:c r="O32" s="30" t="n">
        <x:f>IF(N32="","",N32-'Royal Benchmark'!$B$7)</x:f>
        <x:v>-38</x:v>
      </x:c>
      <x:c r="P32" s="26" t="str">
        <x:v>General glazing</x:v>
      </x:c>
      <x:c r="Q32" s="26" t="str">
        <x:v>Glass/glazing services</x:v>
      </x:c>
      <x:c r="R32" s="26" t="str">
        <x:v>Local glazier</x:v>
      </x:c>
      <x:c r="S32" s="26" t="str">
        <x:v>Not verified</x:v>
      </x:c>
      <x:c r="T32" s="26" t="str">
        <x:v>Not verified</x:v>
      </x:c>
      <x:c r="U32" s="26" t="str">
        <x:v>Not verified</x:v>
      </x:c>
      <x:c r="V32" s="26" t="str">
        <x:v>Not verified</x:v>
      </x:c>
      <x:c r="W32" s="26" t="str">
        <x:v>Local SEO and review footprint</x:v>
      </x:c>
      <x:c r="X32" s="26" t="str">
        <x:f>IF(COUNTA(C32,D32,H32,I32)=4,"High",IF(COUNTA(C32,D32,H32,I32)&gt;=2,"Medium","Low"))</x:f>
        <x:v>High</x:v>
      </x:c>
      <x:c r="Y32" s="26" t="str">
        <x:v>2026-08-21</x:v>
      </x:c>
      <x:c r="Z32" s="26" t="str">
        <x:v>Data partially verified</x:v>
      </x:c>
    </x:row>
    <x:row r="33">
      <x:c r="A33" s="26" t="str">
        <x:v>B</x:v>
      </x:c>
      <x:c r="B33" s="26" t="str">
        <x:v>Bay Glass &amp; Glazing</x:v>
      </x:c>
      <x:c r="C33" s="26" t="str">
        <x:v>Not verified</x:v>
      </x:c>
      <x:c r="D33" s="26" t="str">
        <x:v>52 Whakakake Street, Tauriko, Tauranga 3171</x:v>
      </x:c>
      <x:c r="E33" s="26" t="str">
        <x:v>Tauranga</x:v>
      </x:c>
      <x:c r="F33" s="26" t="str">
        <x:v>Bay of Plenty</x:v>
      </x:c>
      <x:c r="G33" s="26" t="str">
        <x:v>Bay of Plenty</x:v>
      </x:c>
      <x:c r="H33" s="26" t="str">
        <x:v>0800 229 452</x:v>
      </x:c>
      <x:c r="I33" s="26" t="str">
        <x:v>Not verified</x:v>
      </x:c>
      <x:c r="J33" s="26" t="str">
        <x:v>Not verified</x:v>
      </x:c>
      <x:c r="K33" s="26" t="str">
        <x:v>Not verified</x:v>
      </x:c>
      <x:c r="L33" s="26" t="str">
        <x:v>Not verified</x:v>
      </x:c>
      <x:c r="M33" s="28" t="n">
        <x:v>4.8</x:v>
      </x:c>
      <x:c r="N33" s="30" t="n">
        <x:v>17</x:v>
      </x:c>
      <x:c r="O33" s="30" t="n">
        <x:f>IF(N33="","",N33-'Royal Benchmark'!$B$7)</x:f>
        <x:v>-55</x:v>
      </x:c>
      <x:c r="P33" s="26" t="str">
        <x:v>General glazing</x:v>
      </x:c>
      <x:c r="Q33" s="26" t="str">
        <x:v>Glass/glazing services</x:v>
      </x:c>
      <x:c r="R33" s="26" t="str">
        <x:v>Regional glazier</x:v>
      </x:c>
      <x:c r="S33" s="26" t="str">
        <x:v>Not verified</x:v>
      </x:c>
      <x:c r="T33" s="26" t="str">
        <x:v>Not verified</x:v>
      </x:c>
      <x:c r="U33" s="26" t="str">
        <x:v>Not verified</x:v>
      </x:c>
      <x:c r="V33" s="26" t="str">
        <x:v>Not verified</x:v>
      </x:c>
      <x:c r="W33" s="26" t="str">
        <x:v>Bay of Plenty local SEO and reviews</x:v>
      </x:c>
      <x:c r="X33" s="26" t="str">
        <x:f>IF(COUNTA(C33,D33,H33,I33)=4,"High",IF(COUNTA(C33,D33,H33,I33)&gt;=2,"Medium","Low"))</x:f>
        <x:v>High</x:v>
      </x:c>
      <x:c r="Y33" s="26" t="str">
        <x:v>2026-08-21</x:v>
      </x:c>
      <x:c r="Z33" s="26" t="str">
        <x:v>Data partially verified</x:v>
      </x:c>
    </x:row>
    <x:row r="34">
      <x:c r="A34" s="26" t="str">
        <x:v>B</x:v>
      </x:c>
      <x:c r="B34" s="26" t="str">
        <x:v>Tauranga Balustrades, Gates and Fences</x:v>
      </x:c>
      <x:c r="C34" s="26" t="str">
        <x:v>Not verified</x:v>
      </x:c>
      <x:c r="D34" s="26" t="str">
        <x:v>HomePlus Office, 135 Totara Street, Mount Maunganui 3116</x:v>
      </x:c>
      <x:c r="E34" s="26" t="str">
        <x:v>Mount Maunganui</x:v>
      </x:c>
      <x:c r="F34" s="26" t="str">
        <x:v>Bay of Plenty</x:v>
      </x:c>
      <x:c r="G34" s="26" t="str">
        <x:v>Bay of Plenty</x:v>
      </x:c>
      <x:c r="H34" s="26" t="str">
        <x:v>07 579 5455</x:v>
      </x:c>
      <x:c r="I34" s="26" t="str">
        <x:v>Not verified</x:v>
      </x:c>
      <x:c r="J34" s="26" t="str">
        <x:v>Not verified</x:v>
      </x:c>
      <x:c r="K34" s="26" t="str">
        <x:v>Not verified</x:v>
      </x:c>
      <x:c r="L34" s="26" t="str">
        <x:v>Not verified</x:v>
      </x:c>
      <x:c r="M34" s="28" t="n">
        <x:v>4.9</x:v>
      </x:c>
      <x:c r="N34" s="30" t="n">
        <x:v>14</x:v>
      </x:c>
      <x:c r="O34" s="30" t="n">
        <x:f>IF(N34="","",N34-'Royal Benchmark'!$B$7)</x:f>
        <x:v>-58</x:v>
      </x:c>
      <x:c r="P34" s="26" t="str">
        <x:v>Residential; balustrades/gates/fences</x:v>
      </x:c>
      <x:c r="Q34" s="26" t="str">
        <x:v>Balustrades, gates, fences</x:v>
      </x:c>
      <x:c r="R34" s="26" t="str">
        <x:v>HomePlus-linked specialist</x:v>
      </x:c>
      <x:c r="S34" s="26" t="str">
        <x:v>Not verified</x:v>
      </x:c>
      <x:c r="T34" s="26" t="str">
        <x:v>Not verified</x:v>
      </x:c>
      <x:c r="U34" s="26" t="str">
        <x:v>Not verified</x:v>
      </x:c>
      <x:c r="V34" s="26" t="str">
        <x:v>Not verified</x:v>
      </x:c>
      <x:c r="W34" s="26" t="str">
        <x:v>Balustrade/fencing offers and local search</x:v>
      </x:c>
      <x:c r="X34" s="26" t="str">
        <x:f>IF(COUNTA(C34,D34,H34,I34)=4,"High",IF(COUNTA(C34,D34,H34,I34)&gt;=2,"Medium","Low"))</x:f>
        <x:v>High</x:v>
      </x:c>
      <x:c r="Y34" s="26" t="str">
        <x:v>2026-08-21</x:v>
      </x:c>
      <x:c r="Z34" s="26" t="str">
        <x:v>Data partially verified</x:v>
      </x:c>
    </x:row>
    <x:row r="35">
      <x:c r="A35" s="26" t="str">
        <x:v>B</x:v>
      </x:c>
      <x:c r="B35" s="26" t="str">
        <x:v>Lakeland Glass Limited</x:v>
      </x:c>
      <x:c r="C35" s="26" t="str">
        <x:v>Not verified</x:v>
      </x:c>
      <x:c r="D35" s="26" t="str">
        <x:v>37 Glenda Drive, Frankton, Queenstown 9371</x:v>
      </x:c>
      <x:c r="E35" s="26" t="str">
        <x:v>Queenstown</x:v>
      </x:c>
      <x:c r="F35" s="26" t="str">
        <x:v>Otago</x:v>
      </x:c>
      <x:c r="G35" s="26" t="str">
        <x:v>Queenstown / Central Otago</x:v>
      </x:c>
      <x:c r="H35" s="26" t="str">
        <x:v>03 442 8286</x:v>
      </x:c>
      <x:c r="I35" s="26" t="str">
        <x:v>Not verified</x:v>
      </x:c>
      <x:c r="J35" s="26" t="str">
        <x:v>Not verified</x:v>
      </x:c>
      <x:c r="K35" s="26" t="str">
        <x:v>Not verified</x:v>
      </x:c>
      <x:c r="L35" s="26" t="str">
        <x:v>Not verified</x:v>
      </x:c>
      <x:c r="M35" s="28" t="n">
        <x:v>4.6</x:v>
      </x:c>
      <x:c r="N35" s="30" t="n">
        <x:v>11</x:v>
      </x:c>
      <x:c r="O35" s="30" t="n">
        <x:f>IF(N35="","",N35-'Royal Benchmark'!$B$7)</x:f>
        <x:v>-61</x:v>
      </x:c>
      <x:c r="P35" s="26" t="str">
        <x:v>General glazing</x:v>
      </x:c>
      <x:c r="Q35" s="26" t="str">
        <x:v>Glass merchant, glazing, mirrors</x:v>
      </x:c>
      <x:c r="R35" s="26" t="str">
        <x:v>Longstanding Queenstown-region glazier</x:v>
      </x:c>
      <x:c r="S35" s="26" t="str">
        <x:v>Not verified</x:v>
      </x:c>
      <x:c r="T35" s="26" t="str">
        <x:v>Not verified</x:v>
      </x:c>
      <x:c r="U35" s="26" t="str">
        <x:v>Not verified</x:v>
      </x:c>
      <x:c r="V35" s="26" t="str">
        <x:v>Not verified</x:v>
      </x:c>
      <x:c r="W35" s="26" t="str">
        <x:v>Queenstown local SEO and premium-market projects</x:v>
      </x:c>
      <x:c r="X35" s="26" t="str">
        <x:f>IF(COUNTA(C35,D35,H35,I35)=4,"High",IF(COUNTA(C35,D35,H35,I35)&gt;=2,"Medium","Low"))</x:f>
        <x:v>High</x:v>
      </x:c>
      <x:c r="Y35" s="26" t="str">
        <x:v>2026-08-21</x:v>
      </x:c>
      <x:c r="Z35" s="26" t="str">
        <x:v>Data partially verified</x:v>
      </x:c>
    </x:row>
    <x:row r="36">
      <x:c r="A36" s="26" t="str">
        <x:v>B+</x:v>
      </x:c>
      <x:c r="B36" s="26" t="str">
        <x:v>Otago Frameless Glass</x:v>
      </x:c>
      <x:c r="C36" s="26" t="str">
        <x:v>Not verified</x:v>
      </x:c>
      <x:c r="D36" s="26" t="str">
        <x:v>16 Connelly Way, Cromwell 9310</x:v>
      </x:c>
      <x:c r="E36" s="26" t="str">
        <x:v>Cromwell</x:v>
      </x:c>
      <x:c r="F36" s="26" t="str">
        <x:v>Otago</x:v>
      </x:c>
      <x:c r="G36" s="26" t="str">
        <x:v>Central Otago</x:v>
      </x:c>
      <x:c r="H36" s="26" t="str">
        <x:v>03 445 8283</x:v>
      </x:c>
      <x:c r="I36" s="26" t="str">
        <x:v>Not verified</x:v>
      </x:c>
      <x:c r="J36" s="26" t="str">
        <x:v>Not verified</x:v>
      </x:c>
      <x:c r="K36" s="26" t="str">
        <x:v>Not verified</x:v>
      </x:c>
      <x:c r="L36" s="26" t="str">
        <x:v>Not verified</x:v>
      </x:c>
      <x:c r="M36" s="28" t="n">
        <x:v>4.3</x:v>
      </x:c>
      <x:c r="N36" s="30" t="n">
        <x:v>13</x:v>
      </x:c>
      <x:c r="O36" s="30" t="n">
        <x:f>IF(N36="","",N36-'Royal Benchmark'!$B$7)</x:f>
        <x:v>-59</x:v>
      </x:c>
      <x:c r="P36" s="26" t="str">
        <x:v>Frameless glass specialist</x:v>
      </x:c>
      <x:c r="Q36" s="26" t="str">
        <x:v>Frameless glass / mirrors</x:v>
      </x:c>
      <x:c r="R36" s="26" t="str">
        <x:v>Regional frameless specialist</x:v>
      </x:c>
      <x:c r="S36" s="26" t="str">
        <x:v>Not verified</x:v>
      </x:c>
      <x:c r="T36" s="26" t="str">
        <x:v>Not verified</x:v>
      </x:c>
      <x:c r="U36" s="26" t="str">
        <x:v>Not verified</x:v>
      </x:c>
      <x:c r="V36" s="26" t="str">
        <x:v>Not verified</x:v>
      </x:c>
      <x:c r="W36" s="26" t="str">
        <x:v>Frameless positioning, Central Otago projects</x:v>
      </x:c>
      <x:c r="X36" s="26" t="str">
        <x:f>IF(COUNTA(C36,D36,H36,I36)=4,"High",IF(COUNTA(C36,D36,H36,I36)&gt;=2,"Medium","Low"))</x:f>
        <x:v>High</x:v>
      </x:c>
      <x:c r="Y36" s="26" t="str">
        <x:v>2026-08-21</x:v>
      </x:c>
      <x:c r="Z36" s="26" t="str">
        <x:v>Data partially verified</x:v>
      </x:c>
    </x:row>
  </x:sheetData>
  <x:mergeCells>
    <x:mergeCell ref="A1:Z1"/>
    <x:mergeCell ref="A2:Z2"/>
  </x:mergeCells>
  <x:conditionalFormatting sqref="M4:M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4:N3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{6FCFE4D8-EC71-FAEA-E633-CAE73DF1F22C}</x14:id>
        </x:ext>
      </x:extLst>
    </x:cfRule>
  </x:conditionalFormatting>
  <x:conditionalFormatting sqref="O4:O36">
    <x:cfRule type="expression" dxfId="0" priority="3">
      <x:formula>O4&gt;0</x:formula>
    </x:cfRule>
    <x:cfRule type="expression" dxfId="1" priority="4">
      <x:formula>O4&lt;0</x:formula>
    </x:cfRule>
  </x:conditionalFormatting>
  <x:conditionalFormatting sqref="A4:A36">
    <x:cfRule type="expression" dxfId="2" priority="5">
      <x:formula>LEFT(A4,1)="A"</x:formula>
    </x:cfRule>
    <x:cfRule type="expression" dxfId="3" priority="6">
      <x:formula>LEFT(A4,1)="B"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7a60145c8c47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FCFE4D8-EC71-FAEA-E633-CAE73DF1F22C}">
            <x14:dataBar gradient="1">
              <x14:cfvo type="min"/>
              <x14:cfvo type="max"/>
              <x14:fillColor rgb="FFA02B93"/>
            </x14:dataBar>
          </x14:cfRule>
          <xm:sqref>N4:N36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4" t="str">
        <x:v>Service / Keyword Overlap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10" t="str">
        <x:v>Confirmed = explicitly found on current website/source. Related / broad service = likely overlaps but exact term/system was not confirmed. Not verified = no reliable confirmation in this scan.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48" customHeight="1">
      <x:c r="A3" s="18" t="str">
        <x:v>Competitor</x:v>
      </x:c>
      <x:c r="B3" s="18" t="str">
        <x:v>Region</x:v>
      </x:c>
      <x:c r="C3" s="18" t="str">
        <x:v>Glass Railing / Barrier</x:v>
      </x:c>
      <x:c r="D3" s="18" t="str">
        <x:v>Juliet Balustrade</x:v>
      </x:c>
      <x:c r="E3" s="18" t="str">
        <x:v>Standoff / Point / Disc Fixed</x:v>
      </x:c>
      <x:c r="F3" s="18" t="str">
        <x:v>Side / Face Fixed</x:v>
      </x:c>
      <x:c r="G3" s="18" t="str">
        <x:v>Aluminium Framed</x:v>
      </x:c>
      <x:c r="H3" s="18" t="str">
        <x:v>Commercial Glazing</x:v>
      </x:c>
      <x:c r="I3" s="18" t="str">
        <x:v>Architectural Glass</x:v>
      </x:c>
      <x:c r="J3" s="18" t="str">
        <x:v>Glass + Aluminium</x:v>
      </x:c>
      <x:c r="K3" s="18" t="str">
        <x:v>Frameless Shower</x:v>
      </x:c>
      <x:c r="L3" s="18" t="str">
        <x:v>Commercial Partition</x:v>
      </x:c>
      <x:c r="M3" s="18" t="str">
        <x:v>Glass Doors / Sliding / Pivot</x:v>
      </x:c>
      <x:c r="N3" s="18" t="str">
        <x:v>Custom / Commercial Mirrors</x:v>
      </x:c>
      <x:c r="O3" s="18" t="str">
        <x:v>Glass Canopy</x:v>
      </x:c>
      <x:c r="P3" s="18" t="str">
        <x:v>Stainless Handrail</x:v>
      </x:c>
      <x:c r="Q3" s="18" t="str">
        <x:v>Reeded / Fluted</x:v>
      </x:c>
    </x:row>
    <x:row r="4">
      <x:c r="A4" s="32" t="str">
        <x:v>360 Glass Ltd.</x:v>
      </x:c>
      <x:c r="B4" s="32" t="str">
        <x:v>Auckland</x:v>
      </x:c>
      <x:c r="C4" s="32" t="str">
        <x:v>Confirmed</x:v>
      </x:c>
      <x:c r="D4" s="32" t="str">
        <x:v>Confirmed</x:v>
      </x:c>
      <x:c r="E4" s="32" t="str">
        <x:v>Confirmed</x:v>
      </x:c>
      <x:c r="F4" s="32" t="str">
        <x:v>Related / broad service</x:v>
      </x:c>
      <x:c r="G4" s="32" t="str">
        <x:v>Not verified</x:v>
      </x:c>
      <x:c r="H4" s="32" t="str">
        <x:v>Confirmed</x:v>
      </x:c>
      <x:c r="I4" s="32" t="str">
        <x:v>Confirmed</x:v>
      </x:c>
      <x:c r="J4" s="32" t="str">
        <x:v>Not verified</x:v>
      </x:c>
      <x:c r="K4" s="32" t="str">
        <x:v>Confirmed</x:v>
      </x:c>
      <x:c r="L4" s="32" t="str">
        <x:v>Confirmed</x:v>
      </x:c>
      <x:c r="M4" s="32" t="str">
        <x:v>Related / broad service</x:v>
      </x:c>
      <x:c r="N4" s="32" t="str">
        <x:v>Confirmed</x:v>
      </x:c>
      <x:c r="O4" s="32" t="str">
        <x:v>Confirmed</x:v>
      </x:c>
      <x:c r="P4" s="32" t="str">
        <x:v>Not verified</x:v>
      </x:c>
      <x:c r="Q4" s="32" t="str">
        <x:v>Not verified</x:v>
      </x:c>
    </x:row>
    <x:row r="5">
      <x:c r="A5" s="32" t="str">
        <x:v>Auckland Frameless | Designer Glass</x:v>
      </x:c>
      <x:c r="B5" s="32" t="str">
        <x:v>Auckland</x:v>
      </x:c>
      <x:c r="C5" s="32" t="str">
        <x:v>Confirmed</x:v>
      </x:c>
      <x:c r="D5" s="32" t="str">
        <x:v>Not verified</x:v>
      </x:c>
      <x:c r="E5" s="32" t="str">
        <x:v>Not verified</x:v>
      </x:c>
      <x:c r="F5" s="32" t="str">
        <x:v>Not verified</x:v>
      </x:c>
      <x:c r="G5" s="32" t="str">
        <x:v>Not verified</x:v>
      </x:c>
      <x:c r="H5" s="32" t="str">
        <x:v>Confirmed</x:v>
      </x:c>
      <x:c r="I5" s="32" t="str">
        <x:v>Confirmed</x:v>
      </x:c>
      <x:c r="J5" s="32" t="str">
        <x:v>Not verified</x:v>
      </x:c>
      <x:c r="K5" s="32" t="str">
        <x:v>Confirmed</x:v>
      </x:c>
      <x:c r="L5" s="32" t="str">
        <x:v>Not verified</x:v>
      </x:c>
      <x:c r="M5" s="32" t="str">
        <x:v>Related / broad service</x:v>
      </x:c>
      <x:c r="N5" s="32" t="str">
        <x:v>Confirmed</x:v>
      </x:c>
      <x:c r="O5" s="32" t="str">
        <x:v>Not verified</x:v>
      </x:c>
      <x:c r="P5" s="32" t="str">
        <x:v>Not verified</x:v>
      </x:c>
      <x:c r="Q5" s="32" t="str">
        <x:v>Not verified</x:v>
      </x:c>
    </x:row>
    <x:row r="6">
      <x:c r="A6" s="32" t="str">
        <x:v>Glass Projects</x:v>
      </x:c>
      <x:c r="B6" s="32" t="str">
        <x:v>Auckland</x:v>
      </x:c>
      <x:c r="C6" s="32" t="str">
        <x:v>Confirmed</x:v>
      </x:c>
      <x:c r="D6" s="32" t="str">
        <x:v>Not verified</x:v>
      </x:c>
      <x:c r="E6" s="32" t="str">
        <x:v>Related / broad service</x:v>
      </x:c>
      <x:c r="F6" s="32" t="str">
        <x:v>Related / broad service</x:v>
      </x:c>
      <x:c r="G6" s="32" t="str">
        <x:v>Not verified</x:v>
      </x:c>
      <x:c r="H6" s="32" t="str">
        <x:v>Confirmed</x:v>
      </x:c>
      <x:c r="I6" s="32" t="str">
        <x:v>Confirmed</x:v>
      </x:c>
      <x:c r="J6" s="32" t="str">
        <x:v>Not verified</x:v>
      </x:c>
      <x:c r="K6" s="32" t="str">
        <x:v>Confirmed</x:v>
      </x:c>
      <x:c r="L6" s="32" t="str">
        <x:v>Confirmed</x:v>
      </x:c>
      <x:c r="M6" s="32" t="str">
        <x:v>Confirmed</x:v>
      </x:c>
      <x:c r="N6" s="32" t="str">
        <x:v>Confirmed</x:v>
      </x:c>
      <x:c r="O6" s="32" t="str">
        <x:v>Confirmed</x:v>
      </x:c>
      <x:c r="P6" s="32" t="str">
        <x:v>Not verified</x:v>
      </x:c>
      <x:c r="Q6" s="32" t="str">
        <x:v>Not verified</x:v>
      </x:c>
    </x:row>
    <x:row r="7">
      <x:c r="A7" s="32" t="str">
        <x:v>CM Glass</x:v>
      </x:c>
      <x:c r="B7" s="32" t="str">
        <x:v>Waikato</x:v>
      </x:c>
      <x:c r="C7" s="32" t="str">
        <x:v>Confirmed</x:v>
      </x:c>
      <x:c r="D7" s="32" t="str">
        <x:v>Not verified</x:v>
      </x:c>
      <x:c r="E7" s="32" t="str">
        <x:v>Related / broad service</x:v>
      </x:c>
      <x:c r="F7" s="32" t="str">
        <x:v>Related / broad service</x:v>
      </x:c>
      <x:c r="G7" s="32" t="str">
        <x:v>Not verified</x:v>
      </x:c>
      <x:c r="H7" s="32" t="str">
        <x:v>Confirmed</x:v>
      </x:c>
      <x:c r="I7" s="32" t="str">
        <x:v>Confirmed</x:v>
      </x:c>
      <x:c r="J7" s="32" t="str">
        <x:v>Related / broad service</x:v>
      </x:c>
      <x:c r="K7" s="32" t="str">
        <x:v>Confirmed</x:v>
      </x:c>
      <x:c r="L7" s="32" t="str">
        <x:v>Related / broad service</x:v>
      </x:c>
      <x:c r="M7" s="32" t="str">
        <x:v>Confirmed</x:v>
      </x:c>
      <x:c r="N7" s="32" t="str">
        <x:v>Confirmed</x:v>
      </x:c>
      <x:c r="O7" s="32" t="str">
        <x:v>Confirmed</x:v>
      </x:c>
      <x:c r="P7" s="32" t="str">
        <x:v>Not verified</x:v>
      </x:c>
      <x:c r="Q7" s="32" t="str">
        <x:v>Not verified</x:v>
      </x:c>
    </x:row>
    <x:row r="8">
      <x:c r="A8" s="32" t="str">
        <x:v>Glass &amp; Glazing Ltd</x:v>
      </x:c>
      <x:c r="B8" s="32" t="str">
        <x:v>Waikato</x:v>
      </x:c>
      <x:c r="C8" s="32" t="str">
        <x:v>Confirmed</x:v>
      </x:c>
      <x:c r="D8" s="32" t="str">
        <x:v>Not verified</x:v>
      </x:c>
      <x:c r="E8" s="32" t="str">
        <x:v>Not verified</x:v>
      </x:c>
      <x:c r="F8" s="32" t="str">
        <x:v>Not verified</x:v>
      </x:c>
      <x:c r="G8" s="32" t="str">
        <x:v>Not verified</x:v>
      </x:c>
      <x:c r="H8" s="32" t="str">
        <x:v>Confirmed</x:v>
      </x:c>
      <x:c r="I8" s="32" t="str">
        <x:v>Related / broad service</x:v>
      </x:c>
      <x:c r="J8" s="32" t="str">
        <x:v>Not verified</x:v>
      </x:c>
      <x:c r="K8" s="32" t="str">
        <x:v>Confirmed</x:v>
      </x:c>
      <x:c r="L8" s="32" t="str">
        <x:v>Confirmed</x:v>
      </x:c>
      <x:c r="M8" s="32" t="str">
        <x:v>Not verified</x:v>
      </x:c>
      <x:c r="N8" s="32" t="str">
        <x:v>Related / broad service</x:v>
      </x:c>
      <x:c r="O8" s="32" t="str">
        <x:v>Not verified</x:v>
      </x:c>
      <x:c r="P8" s="32" t="str">
        <x:v>Not verified</x:v>
      </x:c>
      <x:c r="Q8" s="32" t="str">
        <x:v>Not verified</x:v>
      </x:c>
    </x:row>
    <x:row r="9">
      <x:c r="A9" s="32" t="str">
        <x:v>NZ Frameless Glass</x:v>
      </x:c>
      <x:c r="B9" s="32" t="str">
        <x:v>Canterbury</x:v>
      </x:c>
      <x:c r="C9" s="32" t="str">
        <x:v>Confirmed</x:v>
      </x:c>
      <x:c r="D9" s="32" t="str">
        <x:v>Not verified</x:v>
      </x:c>
      <x:c r="E9" s="32" t="str">
        <x:v>Related / broad service</x:v>
      </x:c>
      <x:c r="F9" s="32" t="str">
        <x:v>Related / broad service</x:v>
      </x:c>
      <x:c r="G9" s="32" t="str">
        <x:v>Not verified</x:v>
      </x:c>
      <x:c r="H9" s="32" t="str">
        <x:v>Confirmed</x:v>
      </x:c>
      <x:c r="I9" s="32" t="str">
        <x:v>Related / broad service</x:v>
      </x:c>
      <x:c r="J9" s="32" t="str">
        <x:v>Not verified</x:v>
      </x:c>
      <x:c r="K9" s="32" t="str">
        <x:v>Confirmed</x:v>
      </x:c>
      <x:c r="L9" s="32" t="str">
        <x:v>Related / broad service</x:v>
      </x:c>
      <x:c r="M9" s="32" t="str">
        <x:v>Related / broad service</x:v>
      </x:c>
      <x:c r="N9" s="32" t="str">
        <x:v>Confirmed</x:v>
      </x:c>
      <x:c r="O9" s="32" t="str">
        <x:v>Not verified</x:v>
      </x:c>
      <x:c r="P9" s="32" t="str">
        <x:v>Not verified</x:v>
      </x:c>
      <x:c r="Q9" s="32" t="str">
        <x:v>Not verified</x:v>
      </x:c>
    </x:row>
    <x:row r="10">
      <x:c r="A10" s="32" t="str">
        <x:v>Stake Glass</x:v>
      </x:c>
      <x:c r="B10" s="32" t="str">
        <x:v>Canterbury</x:v>
      </x:c>
      <x:c r="C10" s="32" t="str">
        <x:v>Confirmed</x:v>
      </x:c>
      <x:c r="D10" s="32" t="str">
        <x:v>Not verified</x:v>
      </x:c>
      <x:c r="E10" s="32" t="str">
        <x:v>Confirmed</x:v>
      </x:c>
      <x:c r="F10" s="32" t="str">
        <x:v>Confirmed</x:v>
      </x:c>
      <x:c r="G10" s="32" t="str">
        <x:v>Not verified</x:v>
      </x:c>
      <x:c r="H10" s="32" t="str">
        <x:v>Confirmed</x:v>
      </x:c>
      <x:c r="I10" s="32" t="str">
        <x:v>Related / broad service</x:v>
      </x:c>
      <x:c r="J10" s="32" t="str">
        <x:v>Not verified</x:v>
      </x:c>
      <x:c r="K10" s="32" t="str">
        <x:v>Confirmed</x:v>
      </x:c>
      <x:c r="L10" s="32" t="str">
        <x:v>Confirmed</x:v>
      </x:c>
      <x:c r="M10" s="32" t="str">
        <x:v>Confirmed</x:v>
      </x:c>
      <x:c r="N10" s="32" t="str">
        <x:v>Confirmed</x:v>
      </x:c>
      <x:c r="O10" s="32" t="str">
        <x:v>Not verified</x:v>
      </x:c>
      <x:c r="P10" s="32" t="str">
        <x:v>Not verified</x:v>
      </x:c>
      <x:c r="Q10" s="32" t="str">
        <x:v>Confirmed</x:v>
      </x:c>
    </x:row>
    <x:row r="11">
      <x:c r="A11" s="32" t="str">
        <x:v>Remarkable Glass Ltd</x:v>
      </x:c>
      <x:c r="B11" s="32" t="str">
        <x:v>Otago</x:v>
      </x:c>
      <x:c r="C11" s="32" t="str">
        <x:v>Confirmed</x:v>
      </x:c>
      <x:c r="D11" s="32" t="str">
        <x:v>Not verified</x:v>
      </x:c>
      <x:c r="E11" s="32" t="str">
        <x:v>Related / broad service</x:v>
      </x:c>
      <x:c r="F11" s="32" t="str">
        <x:v>Confirmed</x:v>
      </x:c>
      <x:c r="G11" s="32" t="str">
        <x:v>Confirmed</x:v>
      </x:c>
      <x:c r="H11" s="32" t="str">
        <x:v>Confirmed</x:v>
      </x:c>
      <x:c r="I11" s="32" t="str">
        <x:v>Confirmed</x:v>
      </x:c>
      <x:c r="J11" s="32" t="str">
        <x:v>Not verified</x:v>
      </x:c>
      <x:c r="K11" s="32" t="str">
        <x:v>Confirmed</x:v>
      </x:c>
      <x:c r="L11" s="32" t="str">
        <x:v>Confirmed</x:v>
      </x:c>
      <x:c r="M11" s="32" t="str">
        <x:v>Confirmed</x:v>
      </x:c>
      <x:c r="N11" s="32" t="str">
        <x:v>Confirmed</x:v>
      </x:c>
      <x:c r="O11" s="32" t="str">
        <x:v>Confirmed</x:v>
      </x:c>
      <x:c r="P11" s="32" t="str">
        <x:v>Not verified</x:v>
      </x:c>
      <x:c r="Q11" s="32" t="str">
        <x:v>Not verified</x:v>
      </x:c>
    </x:row>
    <x:row r="12">
      <x:c r="A12" s="32" t="str">
        <x:v>Metro Performance Glass</x:v>
      </x:c>
      <x:c r="B12" s="32" t="str">
        <x:v>Nationwide</x:v>
      </x:c>
      <x:c r="C12" s="32" t="str">
        <x:v>Confirmed</x:v>
      </x:c>
      <x:c r="D12" s="32" t="str">
        <x:v>Not verified</x:v>
      </x:c>
      <x:c r="E12" s="32" t="str">
        <x:v>Related / broad service</x:v>
      </x:c>
      <x:c r="F12" s="32" t="str">
        <x:v>Related / broad service</x:v>
      </x:c>
      <x:c r="G12" s="32" t="str">
        <x:v>Related / broad service</x:v>
      </x:c>
      <x:c r="H12" s="32" t="str">
        <x:v>Confirmed</x:v>
      </x:c>
      <x:c r="I12" s="32" t="str">
        <x:v>Confirmed</x:v>
      </x:c>
      <x:c r="J12" s="32" t="str">
        <x:v>Related / broad service</x:v>
      </x:c>
      <x:c r="K12" s="32" t="str">
        <x:v>Confirmed</x:v>
      </x:c>
      <x:c r="L12" s="32" t="str">
        <x:v>Confirmed</x:v>
      </x:c>
      <x:c r="M12" s="32" t="str">
        <x:v>Confirmed</x:v>
      </x:c>
      <x:c r="N12" s="32" t="str">
        <x:v>Confirmed</x:v>
      </x:c>
      <x:c r="O12" s="32" t="str">
        <x:v>Confirmed</x:v>
      </x:c>
      <x:c r="P12" s="32" t="str">
        <x:v>Not verified</x:v>
      </x:c>
      <x:c r="Q12" s="32" t="str">
        <x:v>Related / broad service</x:v>
      </x:c>
    </x:row>
    <x:row r="13">
      <x:c r="A13" s="32" t="str">
        <x:v>Viridian Glass NZ</x:v>
      </x:c>
      <x:c r="B13" s="32" t="str">
        <x:v>Nationwide</x:v>
      </x:c>
      <x:c r="C13" s="32" t="str">
        <x:v>Confirmed</x:v>
      </x:c>
      <x:c r="D13" s="32" t="str">
        <x:v>Not verified</x:v>
      </x:c>
      <x:c r="E13" s="32" t="str">
        <x:v>Related / broad service</x:v>
      </x:c>
      <x:c r="F13" s="32" t="str">
        <x:v>Related / broad service</x:v>
      </x:c>
      <x:c r="G13" s="32" t="str">
        <x:v>Related / broad service</x:v>
      </x:c>
      <x:c r="H13" s="32" t="str">
        <x:v>Confirmed</x:v>
      </x:c>
      <x:c r="I13" s="32" t="str">
        <x:v>Confirmed</x:v>
      </x:c>
      <x:c r="J13" s="32" t="str">
        <x:v>Related / broad service</x:v>
      </x:c>
      <x:c r="K13" s="32" t="str">
        <x:v>Confirmed</x:v>
      </x:c>
      <x:c r="L13" s="32" t="str">
        <x:v>Confirmed</x:v>
      </x:c>
      <x:c r="M13" s="32" t="str">
        <x:v>Confirmed</x:v>
      </x:c>
      <x:c r="N13" s="32" t="str">
        <x:v>Confirmed</x:v>
      </x:c>
      <x:c r="O13" s="32" t="str">
        <x:v>Confirmed</x:v>
      </x:c>
      <x:c r="P13" s="32" t="str">
        <x:v>Not verified</x:v>
      </x:c>
      <x:c r="Q13" s="32" t="str">
        <x:v>Related / broad service</x:v>
      </x:c>
    </x:row>
    <x:row r="14">
      <x:c r="A14" s="32" t="str">
        <x:v>Tauranga Glass Ltd</x:v>
      </x:c>
      <x:c r="B14" s="32" t="str">
        <x:v>Bay of Plenty</x:v>
      </x:c>
      <x:c r="C14" s="32" t="str">
        <x:v>Confirmed</x:v>
      </x:c>
      <x:c r="D14" s="32" t="str">
        <x:v>Not verified</x:v>
      </x:c>
      <x:c r="E14" s="32" t="str">
        <x:v>Not verified</x:v>
      </x:c>
      <x:c r="F14" s="32" t="str">
        <x:v>Not verified</x:v>
      </x:c>
      <x:c r="G14" s="32" t="str">
        <x:v>Related / broad service</x:v>
      </x:c>
      <x:c r="H14" s="32" t="str">
        <x:v>Related / broad service</x:v>
      </x:c>
      <x:c r="I14" s="32" t="str">
        <x:v>Related / broad service</x:v>
      </x:c>
      <x:c r="J14" s="32" t="str">
        <x:v>Not verified</x:v>
      </x:c>
      <x:c r="K14" s="32" t="str">
        <x:v>Confirmed</x:v>
      </x:c>
      <x:c r="L14" s="32" t="str">
        <x:v>Not verified</x:v>
      </x:c>
      <x:c r="M14" s="32" t="str">
        <x:v>Related / broad service</x:v>
      </x:c>
      <x:c r="N14" s="32" t="str">
        <x:v>Confirmed</x:v>
      </x:c>
      <x:c r="O14" s="32" t="str">
        <x:v>Not verified</x:v>
      </x:c>
      <x:c r="P14" s="32" t="str">
        <x:v>Not verified</x:v>
      </x:c>
      <x:c r="Q14" s="32" t="str">
        <x:v>Not verified</x:v>
      </x:c>
    </x:row>
    <x:row r="15">
      <x:c r="A15" s="32" t="str">
        <x:v>Clarity Glass Otago</x:v>
      </x:c>
      <x:c r="B15" s="32" t="str">
        <x:v>Otago</x:v>
      </x:c>
      <x:c r="C15" s="32" t="str">
        <x:v>Confirmed</x:v>
      </x:c>
      <x:c r="D15" s="32" t="str">
        <x:v>Not verified</x:v>
      </x:c>
      <x:c r="E15" s="32" t="str">
        <x:v>Not verified</x:v>
      </x:c>
      <x:c r="F15" s="32" t="str">
        <x:v>Not verified</x:v>
      </x:c>
      <x:c r="G15" s="32" t="str">
        <x:v>Not verified</x:v>
      </x:c>
      <x:c r="H15" s="32" t="str">
        <x:v>Related / broad service</x:v>
      </x:c>
      <x:c r="I15" s="32" t="str">
        <x:v>Related / broad service</x:v>
      </x:c>
      <x:c r="J15" s="32" t="str">
        <x:v>Not verified</x:v>
      </x:c>
      <x:c r="K15" s="32" t="str">
        <x:v>Confirmed</x:v>
      </x:c>
      <x:c r="L15" s="32" t="str">
        <x:v>Not verified</x:v>
      </x:c>
      <x:c r="M15" s="32" t="str">
        <x:v>Confirmed</x:v>
      </x:c>
      <x:c r="N15" s="32" t="str">
        <x:v>Confirmed</x:v>
      </x:c>
      <x:c r="O15" s="32" t="str">
        <x:v>Not verified</x:v>
      </x:c>
      <x:c r="P15" s="32" t="str">
        <x:v>Not verified</x:v>
      </x:c>
      <x:c r="Q15" s="32" t="str">
        <x:v>Not verified</x:v>
      </x:c>
    </x:row>
    <x:row r="16">
      <x:c r="A16" s="32" t="str">
        <x:v>Central Glass &amp; Aluminium Ltd</x:v>
      </x:c>
      <x:c r="B16" s="32" t="str">
        <x:v>Manawatū-Whanganui</x:v>
      </x:c>
      <x:c r="C16" s="32" t="str">
        <x:v>Confirmed</x:v>
      </x:c>
      <x:c r="D16" s="32" t="str">
        <x:v>Not verified</x:v>
      </x:c>
      <x:c r="E16" s="32" t="str">
        <x:v>Related / broad service</x:v>
      </x:c>
      <x:c r="F16" s="32" t="str">
        <x:v>Related / broad service</x:v>
      </x:c>
      <x:c r="G16" s="32" t="str">
        <x:v>Confirmed</x:v>
      </x:c>
      <x:c r="H16" s="32" t="str">
        <x:v>Confirmed</x:v>
      </x:c>
      <x:c r="I16" s="32" t="str">
        <x:v>Related / broad service</x:v>
      </x:c>
      <x:c r="J16" s="32" t="str">
        <x:v>Confirmed</x:v>
      </x:c>
      <x:c r="K16" s="32" t="str">
        <x:v>Related / broad service</x:v>
      </x:c>
      <x:c r="L16" s="32" t="str">
        <x:v>Confirmed</x:v>
      </x:c>
      <x:c r="M16" s="32" t="str">
        <x:v>Confirmed</x:v>
      </x:c>
      <x:c r="N16" s="32" t="str">
        <x:v>Confirmed</x:v>
      </x:c>
      <x:c r="O16" s="32" t="str">
        <x:v>Not verified</x:v>
      </x:c>
      <x:c r="P16" s="32" t="str">
        <x:v>Related / broad service</x:v>
      </x:c>
      <x:c r="Q16" s="32" t="str">
        <x:v>Not verified</x:v>
      </x:c>
    </x:row>
    <x:row r="17">
      <x:c r="A17" s="32" t="str">
        <x:v>Sterling Glass</x:v>
      </x:c>
      <x:c r="B17" s="32" t="str">
        <x:v>Auckland</x:v>
      </x:c>
      <x:c r="C17" s="32" t="str">
        <x:v>Confirmed</x:v>
      </x:c>
      <x:c r="D17" s="32" t="str">
        <x:v>Not verified</x:v>
      </x:c>
      <x:c r="E17" s="32" t="str">
        <x:v>Not verified</x:v>
      </x:c>
      <x:c r="F17" s="32" t="str">
        <x:v>Not verified</x:v>
      </x:c>
      <x:c r="G17" s="32" t="str">
        <x:v>Not verified</x:v>
      </x:c>
      <x:c r="H17" s="32" t="str">
        <x:v>Related / broad service</x:v>
      </x:c>
      <x:c r="I17" s="32" t="str">
        <x:v>Related / broad service</x:v>
      </x:c>
      <x:c r="J17" s="32" t="str">
        <x:v>Not verified</x:v>
      </x:c>
      <x:c r="K17" s="32" t="str">
        <x:v>Confirmed</x:v>
      </x:c>
      <x:c r="L17" s="32" t="str">
        <x:v>Not verified</x:v>
      </x:c>
      <x:c r="M17" s="32" t="str">
        <x:v>Confirmed</x:v>
      </x:c>
      <x:c r="N17" s="32" t="str">
        <x:v>Confirmed</x:v>
      </x:c>
      <x:c r="O17" s="32" t="str">
        <x:v>Not verified</x:v>
      </x:c>
      <x:c r="P17" s="32" t="str">
        <x:v>Not verified</x:v>
      </x:c>
      <x:c r="Q17" s="32" t="str">
        <x:v>Not verified</x:v>
      </x:c>
    </x:row>
    <x:row r="18">
      <x:c r="A18" s="32" t="str">
        <x:v>NZ Glass &amp; Glazing Ltd</x:v>
      </x:c>
      <x:c r="B18" s="32" t="str">
        <x:v>Auckland</x:v>
      </x:c>
      <x:c r="C18" s="32" t="str">
        <x:v>Confirmed</x:v>
      </x:c>
      <x:c r="D18" s="32" t="str">
        <x:v>Not verified</x:v>
      </x:c>
      <x:c r="E18" s="32" t="str">
        <x:v>Related / broad service</x:v>
      </x:c>
      <x:c r="F18" s="32" t="str">
        <x:v>Related / broad service</x:v>
      </x:c>
      <x:c r="G18" s="32" t="str">
        <x:v>Related / broad service</x:v>
      </x:c>
      <x:c r="H18" s="32" t="str">
        <x:v>Confirmed</x:v>
      </x:c>
      <x:c r="I18" s="32" t="str">
        <x:v>Confirmed</x:v>
      </x:c>
      <x:c r="J18" s="32" t="str">
        <x:v>Not verified</x:v>
      </x:c>
      <x:c r="K18" s="32" t="str">
        <x:v>Confirmed</x:v>
      </x:c>
      <x:c r="L18" s="32" t="str">
        <x:v>Confirmed</x:v>
      </x:c>
      <x:c r="M18" s="32" t="str">
        <x:v>Confirmed</x:v>
      </x:c>
      <x:c r="N18" s="32" t="str">
        <x:v>Confirmed</x:v>
      </x:c>
      <x:c r="O18" s="32" t="str">
        <x:v>Confirmed</x:v>
      </x:c>
      <x:c r="P18" s="32" t="str">
        <x:v>Not verified</x:v>
      </x:c>
      <x:c r="Q18" s="32" t="str">
        <x:v>Related / broad service</x:v>
      </x:c>
    </x:row>
    <x:row r="19">
      <x:c r="A19" s="32" t="str">
        <x:v>Wellington Glass &amp; Mirror</x:v>
      </x:c>
      <x:c r="B19" s="32" t="str">
        <x:v>Wellington</x:v>
      </x:c>
      <x:c r="C19" s="32" t="str">
        <x:v>Confirmed</x:v>
      </x:c>
      <x:c r="D19" s="32" t="str">
        <x:v>Not verified</x:v>
      </x:c>
      <x:c r="E19" s="32" t="str">
        <x:v>Not verified</x:v>
      </x:c>
      <x:c r="F19" s="32" t="str">
        <x:v>Not verified</x:v>
      </x:c>
      <x:c r="G19" s="32" t="str">
        <x:v>Related / broad service</x:v>
      </x:c>
      <x:c r="H19" s="32" t="str">
        <x:v>Confirmed</x:v>
      </x:c>
      <x:c r="I19" s="32" t="str">
        <x:v>Related / broad service</x:v>
      </x:c>
      <x:c r="J19" s="32" t="str">
        <x:v>Related / broad service</x:v>
      </x:c>
      <x:c r="K19" s="32" t="str">
        <x:v>Confirmed</x:v>
      </x:c>
      <x:c r="L19" s="32" t="str">
        <x:v>Related / broad service</x:v>
      </x:c>
      <x:c r="M19" s="32" t="str">
        <x:v>Related / broad service</x:v>
      </x:c>
      <x:c r="N19" s="32" t="str">
        <x:v>Confirmed</x:v>
      </x:c>
      <x:c r="O19" s="32" t="str">
        <x:v>Confirmed</x:v>
      </x:c>
      <x:c r="P19" s="32" t="str">
        <x:v>Not verified</x:v>
      </x:c>
      <x:c r="Q19" s="32" t="str">
        <x:v>Related / broad service</x:v>
      </x:c>
    </x:row>
    <x:row r="20">
      <x:c r="A20" s="32" t="str">
        <x:v>Glass Group Wellington</x:v>
      </x:c>
      <x:c r="B20" s="32" t="str">
        <x:v>Wellington</x:v>
      </x:c>
      <x:c r="C20" s="32" t="str">
        <x:v>Related / broad service</x:v>
      </x:c>
      <x:c r="D20" s="32" t="str">
        <x:v>Not verified</x:v>
      </x:c>
      <x:c r="E20" s="32" t="str">
        <x:v>Not verified</x:v>
      </x:c>
      <x:c r="F20" s="32" t="str">
        <x:v>Not verified</x:v>
      </x:c>
      <x:c r="G20" s="32" t="str">
        <x:v>Not verified</x:v>
      </x:c>
      <x:c r="H20" s="32" t="str">
        <x:v>Confirmed</x:v>
      </x:c>
      <x:c r="I20" s="32" t="str">
        <x:v>Confirmed</x:v>
      </x:c>
      <x:c r="J20" s="32" t="str">
        <x:v>Not verified</x:v>
      </x:c>
      <x:c r="K20" s="32" t="str">
        <x:v>Related / broad service</x:v>
      </x:c>
      <x:c r="L20" s="32" t="str">
        <x:v>Confirmed</x:v>
      </x:c>
      <x:c r="M20" s="32" t="str">
        <x:v>Related / broad service</x:v>
      </x:c>
      <x:c r="N20" s="32" t="str">
        <x:v>Related / broad service</x:v>
      </x:c>
      <x:c r="O20" s="32" t="str">
        <x:v>Related / broad service</x:v>
      </x:c>
      <x:c r="P20" s="32" t="str">
        <x:v>Not verified</x:v>
      </x:c>
      <x:c r="Q20" s="32" t="str">
        <x:v>Not verified</x:v>
      </x:c>
    </x:row>
    <x:row r="21">
      <x:c r="A21" s="32" t="str">
        <x:v>Supreme Balustrades</x:v>
      </x:c>
      <x:c r="B21" s="32" t="str">
        <x:v>Wellington</x:v>
      </x:c>
      <x:c r="C21" s="32" t="str">
        <x:v>Confirmed</x:v>
      </x:c>
      <x:c r="D21" s="32" t="str">
        <x:v>Not verified</x:v>
      </x:c>
      <x:c r="E21" s="32" t="str">
        <x:v>Related / broad service</x:v>
      </x:c>
      <x:c r="F21" s="32" t="str">
        <x:v>Related / broad service</x:v>
      </x:c>
      <x:c r="G21" s="32" t="str">
        <x:v>Confirmed</x:v>
      </x:c>
      <x:c r="H21" s="32" t="str">
        <x:v>Related / broad service</x:v>
      </x:c>
      <x:c r="I21" s="32" t="str">
        <x:v>Confirmed</x:v>
      </x:c>
      <x:c r="J21" s="32" t="str">
        <x:v>Confirmed</x:v>
      </x:c>
      <x:c r="K21" s="32" t="str">
        <x:v>Confirmed</x:v>
      </x:c>
      <x:c r="L21" s="32" t="str">
        <x:v>Related / broad service</x:v>
      </x:c>
      <x:c r="M21" s="32" t="str">
        <x:v>Confirmed</x:v>
      </x:c>
      <x:c r="N21" s="32" t="str">
        <x:v>Confirmed</x:v>
      </x:c>
      <x:c r="O21" s="32" t="str">
        <x:v>Confirmed</x:v>
      </x:c>
      <x:c r="P21" s="32" t="str">
        <x:v>Confirmed</x:v>
      </x:c>
      <x:c r="Q21" s="32" t="str">
        <x:v>Not verified</x:v>
      </x:c>
    </x:row>
    <x:row r="22">
      <x:c r="A22" s="32" t="str">
        <x:v>Northland Specialty Glass</x:v>
      </x:c>
      <x:c r="B22" s="32" t="str">
        <x:v>Northland</x:v>
      </x:c>
      <x:c r="C22" s="32" t="str">
        <x:v>Confirmed</x:v>
      </x:c>
      <x:c r="D22" s="32" t="str">
        <x:v>Not verified</x:v>
      </x:c>
      <x:c r="E22" s="32" t="str">
        <x:v>Related / broad service</x:v>
      </x:c>
      <x:c r="F22" s="32" t="str">
        <x:v>Related / broad service</x:v>
      </x:c>
      <x:c r="G22" s="32" t="str">
        <x:v>Related / broad service</x:v>
      </x:c>
      <x:c r="H22" s="32" t="str">
        <x:v>Confirmed</x:v>
      </x:c>
      <x:c r="I22" s="32" t="str">
        <x:v>Related / broad service</x:v>
      </x:c>
      <x:c r="J22" s="32" t="str">
        <x:v>Related / broad service</x:v>
      </x:c>
      <x:c r="K22" s="32" t="str">
        <x:v>Confirmed</x:v>
      </x:c>
      <x:c r="L22" s="32" t="str">
        <x:v>Related / broad service</x:v>
      </x:c>
      <x:c r="M22" s="32" t="str">
        <x:v>Related / broad service</x:v>
      </x:c>
      <x:c r="N22" s="32" t="str">
        <x:v>Confirmed</x:v>
      </x:c>
      <x:c r="O22" s="32" t="str">
        <x:v>Not verified</x:v>
      </x:c>
      <x:c r="P22" s="32" t="str">
        <x:v>Not verified</x:v>
      </x:c>
      <x:c r="Q22" s="32" t="str">
        <x:v>Confirmed</x:v>
      </x:c>
    </x:row>
    <x:row r="23">
      <x:c r="A23" s="32" t="str">
        <x:v>Pane Free Glazing</x:v>
      </x:c>
      <x:c r="B23" s="32" t="str">
        <x:v>Northland</x:v>
      </x:c>
      <x:c r="C23" s="32" t="str">
        <x:v>Related / broad service</x:v>
      </x:c>
      <x:c r="D23" s="32" t="str">
        <x:v>Not verified</x:v>
      </x:c>
      <x:c r="E23" s="32" t="str">
        <x:v>Not verified</x:v>
      </x:c>
      <x:c r="F23" s="32" t="str">
        <x:v>Not verified</x:v>
      </x:c>
      <x:c r="G23" s="32" t="str">
        <x:v>Not verified</x:v>
      </x:c>
      <x:c r="H23" s="32" t="str">
        <x:v>Confirmed</x:v>
      </x:c>
      <x:c r="I23" s="32" t="str">
        <x:v>Related / broad service</x:v>
      </x:c>
      <x:c r="J23" s="32" t="str">
        <x:v>Not verified</x:v>
      </x:c>
      <x:c r="K23" s="32" t="str">
        <x:v>Related / broad service</x:v>
      </x:c>
      <x:c r="L23" s="32" t="str">
        <x:v>Not verified</x:v>
      </x:c>
      <x:c r="M23" s="32" t="str">
        <x:v>Related / broad service</x:v>
      </x:c>
      <x:c r="N23" s="32" t="str">
        <x:v>Confirmed</x:v>
      </x:c>
      <x:c r="O23" s="32" t="str">
        <x:v>Not verified</x:v>
      </x:c>
      <x:c r="P23" s="32" t="str">
        <x:v>Not verified</x:v>
      </x:c>
      <x:c r="Q23" s="32" t="str">
        <x:v>Not verified</x:v>
      </x:c>
    </x:row>
    <x:row r="24">
      <x:c r="A24" s="32" t="str">
        <x:v>Balustrading and More</x:v>
      </x:c>
      <x:c r="B24" s="32" t="str">
        <x:v>Northland</x:v>
      </x:c>
      <x:c r="C24" s="32" t="str">
        <x:v>Confirmed</x:v>
      </x:c>
      <x:c r="D24" s="32" t="str">
        <x:v>Not verified</x:v>
      </x:c>
      <x:c r="E24" s="32" t="str">
        <x:v>Related / broad service</x:v>
      </x:c>
      <x:c r="F24" s="32" t="str">
        <x:v>Confirmed</x:v>
      </x:c>
      <x:c r="G24" s="32" t="str">
        <x:v>Confirmed</x:v>
      </x:c>
      <x:c r="H24" s="32" t="str">
        <x:v>Not verified</x:v>
      </x:c>
      <x:c r="I24" s="32" t="str">
        <x:v>Related / broad service</x:v>
      </x:c>
      <x:c r="J24" s="32" t="str">
        <x:v>Confirmed</x:v>
      </x:c>
      <x:c r="K24" s="32" t="str">
        <x:v>Not verified</x:v>
      </x:c>
      <x:c r="L24" s="32" t="str">
        <x:v>Not verified</x:v>
      </x:c>
      <x:c r="M24" s="32" t="str">
        <x:v>Not verified</x:v>
      </x:c>
      <x:c r="N24" s="32" t="str">
        <x:v>Not verified</x:v>
      </x:c>
      <x:c r="O24" s="32" t="str">
        <x:v>Not verified</x:v>
      </x:c>
      <x:c r="P24" s="32" t="str">
        <x:v>Related / broad service</x:v>
      </x:c>
      <x:c r="Q24" s="32" t="str">
        <x:v>Not verified</x:v>
      </x:c>
    </x:row>
    <x:row r="25">
      <x:c r="A25" s="32" t="str">
        <x:v>Hastings Glazing Services Ltd</x:v>
      </x:c>
      <x:c r="B25" s="32" t="str">
        <x:v>Hawke's Bay</x:v>
      </x:c>
      <x:c r="C25" s="32" t="str">
        <x:v>Related / broad service</x:v>
      </x:c>
      <x:c r="D25" s="32" t="str">
        <x:v>Not verified</x:v>
      </x:c>
      <x:c r="E25" s="32" t="str">
        <x:v>Not verified</x:v>
      </x:c>
      <x:c r="F25" s="32" t="str">
        <x:v>Not verified</x:v>
      </x:c>
      <x:c r="G25" s="32" t="str">
        <x:v>Not verified</x:v>
      </x:c>
      <x:c r="H25" s="32" t="str">
        <x:v>Confirmed</x:v>
      </x:c>
      <x:c r="I25" s="32" t="str">
        <x:v>Related / broad service</x:v>
      </x:c>
      <x:c r="J25" s="32" t="str">
        <x:v>Related / broad service</x:v>
      </x:c>
      <x:c r="K25" s="32" t="str">
        <x:v>Not verified</x:v>
      </x:c>
      <x:c r="L25" s="32" t="str">
        <x:v>Not verified</x:v>
      </x:c>
      <x:c r="M25" s="32" t="str">
        <x:v>Related / broad service</x:v>
      </x:c>
      <x:c r="N25" s="32" t="str">
        <x:v>Confirmed</x:v>
      </x:c>
      <x:c r="O25" s="32" t="str">
        <x:v>Not verified</x:v>
      </x:c>
      <x:c r="P25" s="32" t="str">
        <x:v>Not verified</x:v>
      </x:c>
      <x:c r="Q25" s="32" t="str">
        <x:v>Related / broad service</x:v>
      </x:c>
    </x:row>
    <x:row r="26">
      <x:c r="A26" s="32" t="str">
        <x:v>Nichol Glass &amp; Aluminium</x:v>
      </x:c>
      <x:c r="B26" s="32" t="str">
        <x:v>Hawke's Bay</x:v>
      </x:c>
      <x:c r="C26" s="32" t="str">
        <x:v>Related / broad service</x:v>
      </x:c>
      <x:c r="D26" s="32" t="str">
        <x:v>Not verified</x:v>
      </x:c>
      <x:c r="E26" s="32" t="str">
        <x:v>Not verified</x:v>
      </x:c>
      <x:c r="F26" s="32" t="str">
        <x:v>Not verified</x:v>
      </x:c>
      <x:c r="G26" s="32" t="str">
        <x:v>Confirmed</x:v>
      </x:c>
      <x:c r="H26" s="32" t="str">
        <x:v>Related / broad service</x:v>
      </x:c>
      <x:c r="I26" s="32" t="str">
        <x:v>Confirmed</x:v>
      </x:c>
      <x:c r="J26" s="32" t="str">
        <x:v>Confirmed</x:v>
      </x:c>
      <x:c r="K26" s="32" t="str">
        <x:v>Not verified</x:v>
      </x:c>
      <x:c r="L26" s="32" t="str">
        <x:v>Not verified</x:v>
      </x:c>
      <x:c r="M26" s="32" t="str">
        <x:v>Confirmed</x:v>
      </x:c>
      <x:c r="N26" s="32" t="str">
        <x:v>Related / broad service</x:v>
      </x:c>
      <x:c r="O26" s="32" t="str">
        <x:v>Not verified</x:v>
      </x:c>
      <x:c r="P26" s="32" t="str">
        <x:v>Related / broad service</x:v>
      </x:c>
      <x:c r="Q26" s="32" t="str">
        <x:v>Not verified</x:v>
      </x:c>
    </x:row>
    <x:row r="27">
      <x:c r="A27" s="32" t="str">
        <x:v>Napier Glass Limited</x:v>
      </x:c>
      <x:c r="B27" s="32" t="str">
        <x:v>Hawke's Bay</x:v>
      </x:c>
      <x:c r="C27" s="32" t="str">
        <x:v>Related / broad service</x:v>
      </x:c>
      <x:c r="D27" s="32" t="str">
        <x:v>Not verified</x:v>
      </x:c>
      <x:c r="E27" s="32" t="str">
        <x:v>Not verified</x:v>
      </x:c>
      <x:c r="F27" s="32" t="str">
        <x:v>Not verified</x:v>
      </x:c>
      <x:c r="G27" s="32" t="str">
        <x:v>Not verified</x:v>
      </x:c>
      <x:c r="H27" s="32" t="str">
        <x:v>Related / broad service</x:v>
      </x:c>
      <x:c r="I27" s="32" t="str">
        <x:v>Related / broad service</x:v>
      </x:c>
      <x:c r="J27" s="32" t="str">
        <x:v>Not verified</x:v>
      </x:c>
      <x:c r="K27" s="32" t="str">
        <x:v>Not verified</x:v>
      </x:c>
      <x:c r="L27" s="32" t="str">
        <x:v>Not verified</x:v>
      </x:c>
      <x:c r="M27" s="32" t="str">
        <x:v>Related / broad service</x:v>
      </x:c>
      <x:c r="N27" s="32" t="str">
        <x:v>Related / broad service</x:v>
      </x:c>
      <x:c r="O27" s="32" t="str">
        <x:v>Not verified</x:v>
      </x:c>
      <x:c r="P27" s="32" t="str">
        <x:v>Not verified</x:v>
      </x:c>
      <x:c r="Q27" s="32" t="str">
        <x:v>Not verified</x:v>
      </x:c>
    </x:row>
    <x:row r="28">
      <x:c r="A28" s="32" t="str">
        <x:v>Dunedin Glass</x:v>
      </x:c>
      <x:c r="B28" s="32" t="str">
        <x:v>Otago</x:v>
      </x:c>
      <x:c r="C28" s="32" t="str">
        <x:v>Related / broad service</x:v>
      </x:c>
      <x:c r="D28" s="32" t="str">
        <x:v>Not verified</x:v>
      </x:c>
      <x:c r="E28" s="32" t="str">
        <x:v>Not verified</x:v>
      </x:c>
      <x:c r="F28" s="32" t="str">
        <x:v>Not verified</x:v>
      </x:c>
      <x:c r="G28" s="32" t="str">
        <x:v>Not verified</x:v>
      </x:c>
      <x:c r="H28" s="32" t="str">
        <x:v>Related / broad service</x:v>
      </x:c>
      <x:c r="I28" s="32" t="str">
        <x:v>Related / broad service</x:v>
      </x:c>
      <x:c r="J28" s="32" t="str">
        <x:v>Not verified</x:v>
      </x:c>
      <x:c r="K28" s="32" t="str">
        <x:v>Confirmed</x:v>
      </x:c>
      <x:c r="L28" s="32" t="str">
        <x:v>Not verified</x:v>
      </x:c>
      <x:c r="M28" s="32" t="str">
        <x:v>Confirmed</x:v>
      </x:c>
      <x:c r="N28" s="32" t="str">
        <x:v>Confirmed</x:v>
      </x:c>
      <x:c r="O28" s="32" t="str">
        <x:v>Not verified</x:v>
      </x:c>
      <x:c r="P28" s="32" t="str">
        <x:v>Not verified</x:v>
      </x:c>
      <x:c r="Q28" s="32" t="str">
        <x:v>Not verified</x:v>
      </x:c>
    </x:row>
    <x:row r="29">
      <x:c r="A29" s="32" t="str">
        <x:v>Otago Glass Ltd</x:v>
      </x:c>
      <x:c r="B29" s="32" t="str">
        <x:v>Otago</x:v>
      </x:c>
      <x:c r="C29" s="32" t="str">
        <x:v>Confirmed</x:v>
      </x:c>
      <x:c r="D29" s="32" t="str">
        <x:v>Not verified</x:v>
      </x:c>
      <x:c r="E29" s="32" t="str">
        <x:v>Related / broad service</x:v>
      </x:c>
      <x:c r="F29" s="32" t="str">
        <x:v>Related / broad service</x:v>
      </x:c>
      <x:c r="G29" s="32" t="str">
        <x:v>Related / broad service</x:v>
      </x:c>
      <x:c r="H29" s="32" t="str">
        <x:v>Confirmed</x:v>
      </x:c>
      <x:c r="I29" s="32" t="str">
        <x:v>Related / broad service</x:v>
      </x:c>
      <x:c r="J29" s="32" t="str">
        <x:v>Not verified</x:v>
      </x:c>
      <x:c r="K29" s="32" t="str">
        <x:v>Confirmed</x:v>
      </x:c>
      <x:c r="L29" s="32" t="str">
        <x:v>Confirmed</x:v>
      </x:c>
      <x:c r="M29" s="32" t="str">
        <x:v>Related / broad service</x:v>
      </x:c>
      <x:c r="N29" s="32" t="str">
        <x:v>Confirmed</x:v>
      </x:c>
      <x:c r="O29" s="32" t="str">
        <x:v>Not verified</x:v>
      </x:c>
      <x:c r="P29" s="32" t="str">
        <x:v>Not verified</x:v>
      </x:c>
      <x:c r="Q29" s="32" t="str">
        <x:v>Related / broad service</x:v>
      </x:c>
    </x:row>
    <x:row r="30">
      <x:c r="A30" s="32" t="str">
        <x:v>Otago Balustrades</x:v>
      </x:c>
      <x:c r="B30" s="32" t="str">
        <x:v>Otago</x:v>
      </x:c>
      <x:c r="C30" s="32" t="str">
        <x:v>Confirmed</x:v>
      </x:c>
      <x:c r="D30" s="32" t="str">
        <x:v>Not verified</x:v>
      </x:c>
      <x:c r="E30" s="32" t="str">
        <x:v>Related / broad service</x:v>
      </x:c>
      <x:c r="F30" s="32" t="str">
        <x:v>Related / broad service</x:v>
      </x:c>
      <x:c r="G30" s="32" t="str">
        <x:v>Confirmed</x:v>
      </x:c>
      <x:c r="H30" s="32" t="str">
        <x:v>Confirmed</x:v>
      </x:c>
      <x:c r="I30" s="32" t="str">
        <x:v>Confirmed</x:v>
      </x:c>
      <x:c r="J30" s="32" t="str">
        <x:v>Confirmed</x:v>
      </x:c>
      <x:c r="K30" s="32" t="str">
        <x:v>Not verified</x:v>
      </x:c>
      <x:c r="L30" s="32" t="str">
        <x:v>Not verified</x:v>
      </x:c>
      <x:c r="M30" s="32" t="str">
        <x:v>Not verified</x:v>
      </x:c>
      <x:c r="N30" s="32" t="str">
        <x:v>Not verified</x:v>
      </x:c>
      <x:c r="O30" s="32" t="str">
        <x:v>Not verified</x:v>
      </x:c>
      <x:c r="P30" s="32" t="str">
        <x:v>Confirmed</x:v>
      </x:c>
      <x:c r="Q30" s="32" t="str">
        <x:v>Not verified</x:v>
      </x:c>
    </x:row>
    <x:row r="31">
      <x:c r="A31" s="32" t="str">
        <x:v>Canterbury Balustrade Limited</x:v>
      </x:c>
      <x:c r="B31" s="32" t="str">
        <x:v>Canterbury</x:v>
      </x:c>
      <x:c r="C31" s="32" t="str">
        <x:v>Confirmed</x:v>
      </x:c>
      <x:c r="D31" s="32" t="str">
        <x:v>Not verified</x:v>
      </x:c>
      <x:c r="E31" s="32" t="str">
        <x:v>Related / broad service</x:v>
      </x:c>
      <x:c r="F31" s="32" t="str">
        <x:v>Related / broad service</x:v>
      </x:c>
      <x:c r="G31" s="32" t="str">
        <x:v>Related / broad service</x:v>
      </x:c>
      <x:c r="H31" s="32" t="str">
        <x:v>Related / broad service</x:v>
      </x:c>
      <x:c r="I31" s="32" t="str">
        <x:v>Related / broad service</x:v>
      </x:c>
      <x:c r="J31" s="32" t="str">
        <x:v>Related / broad service</x:v>
      </x:c>
      <x:c r="K31" s="32" t="str">
        <x:v>Not verified</x:v>
      </x:c>
      <x:c r="L31" s="32" t="str">
        <x:v>Not verified</x:v>
      </x:c>
      <x:c r="M31" s="32" t="str">
        <x:v>Not verified</x:v>
      </x:c>
      <x:c r="N31" s="32" t="str">
        <x:v>Not verified</x:v>
      </x:c>
      <x:c r="O31" s="32" t="str">
        <x:v>Not verified</x:v>
      </x:c>
      <x:c r="P31" s="32" t="str">
        <x:v>Related / broad service</x:v>
      </x:c>
      <x:c r="Q31" s="32" t="str">
        <x:v>Not verified</x:v>
      </x:c>
    </x:row>
    <x:row r="32">
      <x:c r="A32" s="32" t="str">
        <x:v>Gear Glass &amp; Glazing</x:v>
      </x:c>
      <x:c r="B32" s="32" t="str">
        <x:v>Canterbury</x:v>
      </x:c>
      <x:c r="C32" s="32" t="str">
        <x:v>Related / broad service</x:v>
      </x:c>
      <x:c r="D32" s="32" t="str">
        <x:v>Not verified</x:v>
      </x:c>
      <x:c r="E32" s="32" t="str">
        <x:v>Not verified</x:v>
      </x:c>
      <x:c r="F32" s="32" t="str">
        <x:v>Not verified</x:v>
      </x:c>
      <x:c r="G32" s="32" t="str">
        <x:v>Not verified</x:v>
      </x:c>
      <x:c r="H32" s="32" t="str">
        <x:v>Confirmed</x:v>
      </x:c>
      <x:c r="I32" s="32" t="str">
        <x:v>Related / broad service</x:v>
      </x:c>
      <x:c r="J32" s="32" t="str">
        <x:v>Not verified</x:v>
      </x:c>
      <x:c r="K32" s="32" t="str">
        <x:v>Related / broad service</x:v>
      </x:c>
      <x:c r="L32" s="32" t="str">
        <x:v>Related / broad service</x:v>
      </x:c>
      <x:c r="M32" s="32" t="str">
        <x:v>Related / broad service</x:v>
      </x:c>
      <x:c r="N32" s="32" t="str">
        <x:v>Related / broad service</x:v>
      </x:c>
      <x:c r="O32" s="32" t="str">
        <x:v>Not verified</x:v>
      </x:c>
      <x:c r="P32" s="32" t="str">
        <x:v>Not verified</x:v>
      </x:c>
      <x:c r="Q32" s="32" t="str">
        <x:v>Not verified</x:v>
      </x:c>
    </x:row>
    <x:row r="33">
      <x:c r="A33" s="32" t="str">
        <x:v>Bay Glass &amp; Glazing</x:v>
      </x:c>
      <x:c r="B33" s="32" t="str">
        <x:v>Bay of Plenty</x:v>
      </x:c>
      <x:c r="C33" s="32" t="str">
        <x:v>Related / broad service</x:v>
      </x:c>
      <x:c r="D33" s="32" t="str">
        <x:v>Not verified</x:v>
      </x:c>
      <x:c r="E33" s="32" t="str">
        <x:v>Not verified</x:v>
      </x:c>
      <x:c r="F33" s="32" t="str">
        <x:v>Not verified</x:v>
      </x:c>
      <x:c r="G33" s="32" t="str">
        <x:v>Not verified</x:v>
      </x:c>
      <x:c r="H33" s="32" t="str">
        <x:v>Confirmed</x:v>
      </x:c>
      <x:c r="I33" s="32" t="str">
        <x:v>Related / broad service</x:v>
      </x:c>
      <x:c r="J33" s="32" t="str">
        <x:v>Not verified</x:v>
      </x:c>
      <x:c r="K33" s="32" t="str">
        <x:v>Related / broad service</x:v>
      </x:c>
      <x:c r="L33" s="32" t="str">
        <x:v>Related / broad service</x:v>
      </x:c>
      <x:c r="M33" s="32" t="str">
        <x:v>Related / broad service</x:v>
      </x:c>
      <x:c r="N33" s="32" t="str">
        <x:v>Related / broad service</x:v>
      </x:c>
      <x:c r="O33" s="32" t="str">
        <x:v>Not verified</x:v>
      </x:c>
      <x:c r="P33" s="32" t="str">
        <x:v>Not verified</x:v>
      </x:c>
      <x:c r="Q33" s="32" t="str">
        <x:v>Not verified</x:v>
      </x:c>
    </x:row>
    <x:row r="34">
      <x:c r="A34" s="32" t="str">
        <x:v>Tauranga Balustrades, Gates and Fences</x:v>
      </x:c>
      <x:c r="B34" s="32" t="str">
        <x:v>Bay of Plenty</x:v>
      </x:c>
      <x:c r="C34" s="32" t="str">
        <x:v>Confirmed</x:v>
      </x:c>
      <x:c r="D34" s="32" t="str">
        <x:v>Not verified</x:v>
      </x:c>
      <x:c r="E34" s="32" t="str">
        <x:v>Related / broad service</x:v>
      </x:c>
      <x:c r="F34" s="32" t="str">
        <x:v>Related / broad service</x:v>
      </x:c>
      <x:c r="G34" s="32" t="str">
        <x:v>Confirmed</x:v>
      </x:c>
      <x:c r="H34" s="32" t="str">
        <x:v>Related / broad service</x:v>
      </x:c>
      <x:c r="I34" s="32" t="str">
        <x:v>Related / broad service</x:v>
      </x:c>
      <x:c r="J34" s="32" t="str">
        <x:v>Confirmed</x:v>
      </x:c>
      <x:c r="K34" s="32" t="str">
        <x:v>Not verified</x:v>
      </x:c>
      <x:c r="L34" s="32" t="str">
        <x:v>Not verified</x:v>
      </x:c>
      <x:c r="M34" s="32" t="str">
        <x:v>Not verified</x:v>
      </x:c>
      <x:c r="N34" s="32" t="str">
        <x:v>Not verified</x:v>
      </x:c>
      <x:c r="O34" s="32" t="str">
        <x:v>Not verified</x:v>
      </x:c>
      <x:c r="P34" s="32" t="str">
        <x:v>Related / broad service</x:v>
      </x:c>
      <x:c r="Q34" s="32" t="str">
        <x:v>Not verified</x:v>
      </x:c>
    </x:row>
    <x:row r="35">
      <x:c r="A35" s="32" t="str">
        <x:v>Lakeland Glass Limited</x:v>
      </x:c>
      <x:c r="B35" s="32" t="str">
        <x:v>Otago</x:v>
      </x:c>
      <x:c r="C35" s="32" t="str">
        <x:v>Related / broad service</x:v>
      </x:c>
      <x:c r="D35" s="32" t="str">
        <x:v>Not verified</x:v>
      </x:c>
      <x:c r="E35" s="32" t="str">
        <x:v>Not verified</x:v>
      </x:c>
      <x:c r="F35" s="32" t="str">
        <x:v>Not verified</x:v>
      </x:c>
      <x:c r="G35" s="32" t="str">
        <x:v>Not verified</x:v>
      </x:c>
      <x:c r="H35" s="32" t="str">
        <x:v>Related / broad service</x:v>
      </x:c>
      <x:c r="I35" s="32" t="str">
        <x:v>Related / broad service</x:v>
      </x:c>
      <x:c r="J35" s="32" t="str">
        <x:v>Not verified</x:v>
      </x:c>
      <x:c r="K35" s="32" t="str">
        <x:v>Related / broad service</x:v>
      </x:c>
      <x:c r="L35" s="32" t="str">
        <x:v>Related / broad service</x:v>
      </x:c>
      <x:c r="M35" s="32" t="str">
        <x:v>Related / broad service</x:v>
      </x:c>
      <x:c r="N35" s="32" t="str">
        <x:v>Confirmed</x:v>
      </x:c>
      <x:c r="O35" s="32" t="str">
        <x:v>Not verified</x:v>
      </x:c>
      <x:c r="P35" s="32" t="str">
        <x:v>Not verified</x:v>
      </x:c>
      <x:c r="Q35" s="32" t="str">
        <x:v>Not verified</x:v>
      </x:c>
    </x:row>
    <x:row r="36">
      <x:c r="A36" s="32" t="str">
        <x:v>Otago Frameless Glass</x:v>
      </x:c>
      <x:c r="B36" s="32" t="str">
        <x:v>Otago</x:v>
      </x:c>
      <x:c r="C36" s="32" t="str">
        <x:v>Confirmed</x:v>
      </x:c>
      <x:c r="D36" s="32" t="str">
        <x:v>Not verified</x:v>
      </x:c>
      <x:c r="E36" s="32" t="str">
        <x:v>Related / broad service</x:v>
      </x:c>
      <x:c r="F36" s="32" t="str">
        <x:v>Related / broad service</x:v>
      </x:c>
      <x:c r="G36" s="32" t="str">
        <x:v>Not verified</x:v>
      </x:c>
      <x:c r="H36" s="32" t="str">
        <x:v>Related / broad service</x:v>
      </x:c>
      <x:c r="I36" s="32" t="str">
        <x:v>Related / broad service</x:v>
      </x:c>
      <x:c r="J36" s="32" t="str">
        <x:v>Not verified</x:v>
      </x:c>
      <x:c r="K36" s="32" t="str">
        <x:v>Confirmed</x:v>
      </x:c>
      <x:c r="L36" s="32" t="str">
        <x:v>Related / broad service</x:v>
      </x:c>
      <x:c r="M36" s="32" t="str">
        <x:v>Related / broad service</x:v>
      </x:c>
      <x:c r="N36" s="32" t="str">
        <x:v>Confirmed</x:v>
      </x:c>
      <x:c r="O36" s="32" t="str">
        <x:v>Not verified</x:v>
      </x:c>
      <x:c r="P36" s="32" t="str">
        <x:v>Not verified</x:v>
      </x:c>
      <x:c r="Q36" s="32" t="str">
        <x:v>Not verified</x:v>
      </x:c>
    </x:row>
  </x:sheetData>
  <x:mergeCells>
    <x:mergeCell ref="A1:Q1"/>
    <x:mergeCell ref="A2:Q2"/>
  </x:mergeCells>
  <x:conditionalFormatting sqref="C4:Q36">
    <x:cfRule type="expression" dxfId="4" priority="1">
      <x:formula>C4="Confirmed"</x:formula>
    </x:cfRule>
    <x:cfRule type="expression" dxfId="5" priority="2">
      <x:formula>C4="Related / broad service"</x:formula>
    </x:cfRule>
    <x:cfRule type="expression" dxfId="6" priority="3">
      <x:formula>C4="Not 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d0d0e4b3be43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</x:cols>
  <x:sheetData>
    <x:row r="1">
      <x:c r="A1" s="4" t="str">
        <x:v>Royal Glass — Competitor-Derived Growth Opportunities</x:v>
      </x:c>
      <x:c r="B1" s="4"/>
      <x:c r="C1" s="4"/>
      <x:c r="D1" s="4"/>
      <x:c r="E1" s="4"/>
      <x:c r="F1" s="4"/>
      <x:c r="G1" s="4"/>
    </x:row>
    <x:row r="2" ht="34" customHeight="1">
      <x:c r="A2" s="10" t="str">
        <x:v>Actions below are based on recurring patterns found across the verified NZ competitor set. Priorities favour lead generation, SEO, social proof and builder/architect acquisition.</x:v>
      </x:c>
      <x:c r="B2" s="10"/>
      <x:c r="C2" s="10"/>
      <x:c r="D2" s="10"/>
      <x:c r="E2" s="10"/>
      <x:c r="F2" s="10"/>
      <x:c r="G2" s="10"/>
    </x:row>
    <x:row r="4">
      <x:c r="A4" s="18" t="str">
        <x:v>Opportunity</x:v>
      </x:c>
      <x:c r="B4" s="18" t="str">
        <x:v>Competitor Evidence</x:v>
      </x:c>
      <x:c r="C4" s="18" t="str">
        <x:v>Recommended Royal Glass Action</x:v>
      </x:c>
      <x:c r="D4" s="18" t="str">
        <x:v>Impact</x:v>
      </x:c>
      <x:c r="E4" s="18" t="str">
        <x:v>Effort</x:v>
      </x:c>
      <x:c r="F4" s="18" t="str">
        <x:v>Priority</x:v>
      </x:c>
      <x:c r="G4" s="18" t="str">
        <x:v>Metric to Track</x:v>
      </x:c>
    </x:row>
    <x:row r="5">
      <x:c r="A5" s="26" t="str">
        <x:v>Google reviews / reputation</x:v>
      </x:c>
      <x:c r="B5" s="26" t="str">
        <x:v>Wellington Glass &amp; Mirror (356), Northland Specialty Glass (210), Hastings Glazing Services (156), Tauranga Glass (154), 360 Glass (106) all have strong review volume.</x:v>
      </x:c>
      <x:c r="C5" s="26" t="str">
        <x:v>Automate review requests after installation and after successful issue resolution. Link directly to Google; track request → review conversion.</x:v>
      </x:c>
      <x:c r="D5" s="26" t="str">
        <x:v>High</x:v>
      </x:c>
      <x:c r="E5" s="26" t="str">
        <x:v>Low</x:v>
      </x:c>
      <x:c r="F5" s="26" t="str">
        <x:v>P1</x:v>
      </x:c>
      <x:c r="G5" s="26" t="str">
        <x:v>Google review count; new reviews/month; rating</x:v>
      </x:c>
    </x:row>
    <x:row r="6">
      <x:c r="A6" s="26" t="str">
        <x:v>Exact product-keyword SEO</x:v>
      </x:c>
      <x:c r="B6" s="26" t="str">
        <x:v>Stake has dedicated Side-Fixed/Standoff balustrade content and reeded/fluted shower content. Balustrading and More publishes face-fixed / mini-post system pages.</x:v>
      </x:c>
      <x:c r="C6" s="26" t="str">
        <x:v>Create system-level pages for side/face-fixed, standoff/point/disc-fixed, Juliet, mini-post/channel, reeded/fluted and aluminium-framed balustrades.</x:v>
      </x:c>
      <x:c r="D6" s="26" t="str">
        <x:v>High</x:v>
      </x:c>
      <x:c r="E6" s="26" t="str">
        <x:v>Medium</x:v>
      </x:c>
      <x:c r="F6" s="26" t="str">
        <x:v>P1</x:v>
      </x:c>
      <x:c r="G6" s="26" t="str">
        <x:v>Top-10 rankings per exact keyword; organic enquiries</x:v>
      </x:c>
    </x:row>
    <x:row r="7">
      <x:c r="A7" s="26" t="str">
        <x:v>Project case studies</x:v>
      </x:c>
      <x:c r="B7" s="26" t="str">
        <x:v>Glass Projects, Remarkable Glass, 360 Glass and Stake use project/product portfolios to prove capability.</x:v>
      </x:c>
      <x:c r="C7" s="26" t="str">
        <x:v>Publish structured case studies: problem, system, glass spec, fixing type, location, builder/architect, compliance, photos/video and CTA.</x:v>
      </x:c>
      <x:c r="D7" s="26" t="str">
        <x:v>High</x:v>
      </x:c>
      <x:c r="E7" s="26" t="str">
        <x:v>Medium</x:v>
      </x:c>
      <x:c r="F7" s="26" t="str">
        <x:v>P1</x:v>
      </x:c>
      <x:c r="G7" s="26" t="str">
        <x:v>Case-study traffic; assisted conversions; builder enquiries</x:v>
      </x:c>
    </x:row>
    <x:row r="8">
      <x:c r="A8" s="26" t="str">
        <x:v>Builder / architect acquisition</x:v>
      </x:c>
      <x:c r="B8" s="26" t="str">
        <x:v>Glass Projects and 360 position directly around construction partners; NZ Glass and Wellington Glass explicitly mention architects/builders.</x:v>
      </x:c>
      <x:c r="C8" s="26" t="str">
        <x:v>Create separate value propositions and landing pages for homeowners, builders and architects/specifiers, with plan-upload and technical-document CTAs.</x:v>
      </x:c>
      <x:c r="D8" s="26" t="str">
        <x:v>High</x:v>
      </x:c>
      <x:c r="E8" s="26" t="str">
        <x:v>Medium</x:v>
      </x:c>
      <x:c r="F8" s="26" t="str">
        <x:v>P1</x:v>
      </x:c>
      <x:c r="G8" s="26" t="str">
        <x:v>Qualified builder/architect leads; plan uploads</x:v>
      </x:c>
    </x:row>
    <x:row r="9">
      <x:c r="A9" s="26" t="str">
        <x:v>LinkedIn B2B content</x:v>
      </x:c>
      <x:c r="B9" s="26" t="str">
        <x:v>Stake, Metro and Viridian have visible company LinkedIn activity; Stake also has a named Marketing Manager.</x:v>
      </x:c>
      <x:c r="C9" s="26" t="str">
        <x:v>Publish 2–3 B2B project posts per week: installation detail, compliance lesson, system comparison, builder collaboration, before/after and project completion.</x:v>
      </x:c>
      <x:c r="D9" s="26" t="str">
        <x:v>High</x:v>
      </x:c>
      <x:c r="E9" s="26" t="str">
        <x:v>Medium</x:v>
      </x:c>
      <x:c r="F9" s="26" t="str">
        <x:v>P1</x:v>
      </x:c>
      <x:c r="G9" s="26" t="str">
        <x:v>LinkedIn followers; impressions; builder/architect leads</x:v>
      </x:c>
    </x:row>
    <x:row r="10">
      <x:c r="A10" s="26" t="str">
        <x:v>Local / regional SEO structure</x:v>
      </x:c>
      <x:c r="B10" s="26" t="str">
        <x:v>Metro and Viridian use dedicated branch/service-area pages. Hastings Glazing uses extensive suburb/service coverage.</x:v>
      </x:c>
      <x:c r="C10" s="26" t="str">
        <x:v>Build useful Auckland service-area content around genuine project coverage, with unique projects/testimonials rather than thin duplicate suburb pages.</x:v>
      </x:c>
      <x:c r="D10" s="26" t="str">
        <x:v>High</x:v>
      </x:c>
      <x:c r="E10" s="26" t="str">
        <x:v>Medium</x:v>
      </x:c>
      <x:c r="F10" s="26" t="str">
        <x:v>P1</x:v>
      </x:c>
      <x:c r="G10" s="26" t="str">
        <x:v>Local organic clicks; map-pack visibility; calls</x:v>
      </x:c>
    </x:row>
    <x:row r="11">
      <x:c r="A11" s="26" t="str">
        <x:v>Interactive conversion tools</x:v>
      </x:c>
      <x:c r="B11" s="26" t="str">
        <x:v>Viridian promotes a glazing selector/calculator. Several competitors rely only on basic quote forms.</x:v>
      </x:c>
      <x:c r="C11" s="26" t="str">
        <x:v>Make Royal Glass's estimate/quote journey a differentiator: instant estimate where appropriate, plan/photo upload, clear next step, and saved lead data.</x:v>
      </x:c>
      <x:c r="D11" s="26" t="str">
        <x:v>High</x:v>
      </x:c>
      <x:c r="E11" s="26" t="str">
        <x:v>Medium</x:v>
      </x:c>
      <x:c r="F11" s="26" t="str">
        <x:v>P1</x:v>
      </x:c>
      <x:c r="G11" s="26" t="str">
        <x:v>Estimate starts/completions; quote requests; conversion rate</x:v>
      </x:c>
    </x:row>
    <x:row r="12">
      <x:c r="A12" s="26" t="str">
        <x:v>Trust / compliance proof</x:v>
      </x:c>
      <x:c r="B12" s="26" t="str">
        <x:v>Competitors prominently use WGANZ, Site Safe, testing, warranties, NZ-made claims and years of experience.</x:v>
      </x:c>
      <x:c r="C12" s="26" t="str">
        <x:v>Surface certifications, standards, warranties, supplier systems and installation QA near every conversion point; explain what each proof means to the client.</x:v>
      </x:c>
      <x:c r="D12" s="26" t="str">
        <x:v>High</x:v>
      </x:c>
      <x:c r="E12" s="26" t="str">
        <x:v>Low</x:v>
      </x:c>
      <x:c r="F12" s="26" t="str">
        <x:v>P1</x:v>
      </x:c>
      <x:c r="G12" s="26" t="str">
        <x:v>Quote conversion; trust-element engagement</x:v>
      </x:c>
    </x:row>
    <x:row r="13">
      <x:c r="A13" s="26" t="str">
        <x:v>Offer / price positioning</x:v>
      </x:c>
      <x:c r="B13" s="26" t="str">
        <x:v>Supreme Balustrades currently promotes a competitor-quote beat / 10% discount offer.</x:v>
      </x:c>
      <x:c r="C13" s="26" t="str">
        <x:v>Do not automatically copy discounting. Monitor it and counter with value proof: design advice, compliance, finish quality, warranty, project management and transparent inclusions.</x:v>
      </x:c>
      <x:c r="D13" s="26" t="str">
        <x:v>Medium</x:v>
      </x:c>
      <x:c r="E13" s="26" t="str">
        <x:v>Low</x:v>
      </x:c>
      <x:c r="F13" s="26" t="str">
        <x:v>P2</x:v>
      </x:c>
      <x:c r="G13" s="26" t="str">
        <x:v>Win/loss reasons; average gross margin; quote acceptance</x:v>
      </x:c>
    </x:row>
    <x:row r="14">
      <x:c r="A14" s="26" t="str">
        <x:v>Social profile consistency</x:v>
      </x:c>
      <x:c r="B14" s="26" t="str">
        <x:v>Many regional competitors have weak or hard-to-verify social profiles, while Metro/Sterling have clear handles.</x:v>
      </x:c>
      <x:c r="C14" s="26" t="str">
        <x:v>Maintain complete Facebook, Instagram and LinkedIn profiles with consistent NAP, service keywords, project galleries, website links and UTM tracking.</x:v>
      </x:c>
      <x:c r="D14" s="26" t="str">
        <x:v>Medium</x:v>
      </x:c>
      <x:c r="E14" s="26" t="str">
        <x:v>Low</x:v>
      </x:c>
      <x:c r="F14" s="26" t="str">
        <x:v>P2</x:v>
      </x:c>
      <x:c r="G14" s="26" t="str">
        <x:v>Profile visits; referral sessions; attributed leads</x:v>
      </x:c>
    </x:row>
    <x:row r="15">
      <x:c r="A15" s="26" t="str">
        <x:v>Commercial partitions / fitouts</x:v>
      </x:c>
      <x:c r="B15" s="26" t="str">
        <x:v>360, Glass Projects, Stake, NZ Glass, Metro, Viridian and Glass Group all compete for commercial interior glazing.</x:v>
      </x:c>
      <x:c r="C15" s="26" t="str">
        <x:v>Build a stronger commercial partition hub with office fitout case studies, acoustic/privacy options, door types, hardware, plan upload and project lead times.</x:v>
      </x:c>
      <x:c r="D15" s="26" t="str">
        <x:v>High</x:v>
      </x:c>
      <x:c r="E15" s="26" t="str">
        <x:v>Medium</x:v>
      </x:c>
      <x:c r="F15" s="26" t="str">
        <x:v>P1</x:v>
      </x:c>
      <x:c r="G15" s="26" t="str">
        <x:v>Commercial enquiries; ranking for office partition terms</x:v>
      </x:c>
    </x:row>
    <x:row r="16">
      <x:c r="A16" s="26" t="str">
        <x:v>Reeded / fluted glass</x:v>
      </x:c>
      <x:c r="B16" s="26" t="str">
        <x:v>Stake explicitly explains reeded glass as ribbed/fluted; many competitors do not create a dedicated content path.</x:v>
      </x:c>
      <x:c r="C16" s="26" t="str">
        <x:v>Create a visual reeded/fluted glass guide covering privacy, shower/partition uses, pattern options and project examples.</x:v>
      </x:c>
      <x:c r="D16" s="26" t="str">
        <x:v>Medium</x:v>
      </x:c>
      <x:c r="E16" s="26" t="str">
        <x:v>Low</x:v>
      </x:c>
      <x:c r="F16" s="26" t="str">
        <x:v>P2</x:v>
      </x:c>
      <x:c r="G16" s="26" t="str">
        <x:v>Keyword rankings; image/search traffic; enquiries</x:v>
      </x:c>
    </x:row>
    <x:row r="17">
      <x:c r="A17" s="26" t="str">
        <x:v>Monitoring system</x:v>
      </x:c>
      <x:c r="B17" s="26" t="str">
        <x:v>Competitor offers, project posts, reviews, pages and services change continuously.</x:v>
      </x:c>
      <x:c r="C17" s="26" t="str">
        <x:v>Store this master list in your database and run a monthly website/social/review monitoring cycle. Alert on new service pages, offers, high-performing posts and large review changes.</x:v>
      </x:c>
      <x:c r="D17" s="26" t="str">
        <x:v>High</x:v>
      </x:c>
      <x:c r="E17" s="26" t="str">
        <x:v>Medium</x:v>
      </x:c>
      <x:c r="F17" s="26" t="str">
        <x:v>P1</x:v>
      </x:c>
      <x:c r="G17" s="26" t="str">
        <x:v>Competitor changes captured; actions generated/month</x:v>
      </x:c>
    </x:row>
  </x:sheetData>
  <x:mergeCells>
    <x:mergeCell ref="A1:G1"/>
    <x:mergeCell ref="A2:G2"/>
  </x:mergeCells>
  <x:conditionalFormatting sqref="F5:F16">
    <x:cfRule type="expression" dxfId="7" priority="1">
      <x:formula>F5="P1"</x:formula>
    </x:cfRule>
    <x:cfRule type="expression" dxfId="8" priority="2">
      <x:formula>F5="P2"</x:formula>
    </x:cfRule>
  </x:conditionalFormatting>
  <x:conditionalFormatting sqref="F5:F17">
    <x:cfRule type="expression" dxfId="9" priority="3">
      <x:formula>F5="P1"</x:formula>
    </x:cfRule>
    <x:cfRule type="expression" dxfId="10" priority="4">
      <x:formula>F5="P2"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d67a9d941549c7"/>
  </x:tableParts>
</x:worksheet>
</file>

<file path=xl/worksheets/sheet4.xml><?xml version="1.0" encoding="utf-8"?>
<x:worksheet xmlns:x="http://schemas.openxmlformats.org/spreadsheetml/2006/main">
  <x:sheetFormatPr defaultRowHeight="15"/>
  <x:cols>
    <x:col min="4" max="4" width="24" hidden="0" customWidth="1"/>
    <x:col min="5" max="5" width="42" hidden="0" customWidth="1"/>
    <x:col min="6" max="6" width="32" hidden="0" customWidth="1"/>
    <x:col min="1" max="1" width="32" hidden="0" customWidth="1"/>
    <x:col min="2" max="2" width="15" hidden="0" customWidth="1"/>
  </x:cols>
  <x:sheetData>
    <x:row r="1">
      <x:c r="A1" s="4" t="str">
        <x:v>Royal Glass Baseline vs Competitor Review Leaders</x:v>
      </x:c>
      <x:c r="B1" s="4"/>
      <x:c r="C1" s="4"/>
      <x:c r="D1" s="4"/>
      <x:c r="E1" s="4"/>
      <x:c r="F1" s="4"/>
    </x:row>
    <x:row r="3">
      <x:c r="A3" s="18" t="str">
        <x:v>Metric</x:v>
      </x:c>
      <x:c r="B3" s="18" t="str">
        <x:v>Value</x:v>
      </x:c>
      <x:c r="D3" s="18" t="str">
        <x:v>Royal Glass Snapshot</x:v>
      </x:c>
      <x:c r="E3" s="18" t="str">
        <x:v>Value</x:v>
      </x:c>
      <x:c r="F3" s="18" t="str">
        <x:v>Source</x:v>
      </x:c>
    </x:row>
    <x:row r="4">
      <x:c r="A4" s="36" t="str">
        <x:v>Competitors in master</x:v>
      </x:c>
      <x:c r="B4" s="42" t="n">
        <x:f>COUNTA('Competitor Master'!B4:B36)</x:f>
        <x:v>33</x:v>
      </x:c>
      <x:c r="D4" s="36" t="str">
        <x:v>Website</x:v>
      </x:c>
      <x:c r="E4" t="str">
        <x:v>https://royalglass.co.nz/</x:v>
      </x:c>
      <x:c r="F4" t="str">
        <x:v>https://royalglass.co.nz/</x:v>
      </x:c>
    </x:row>
    <x:row r="5">
      <x:c r="A5" s="36" t="str">
        <x:v>Average competitor Google rating</x:v>
      </x:c>
      <x:c r="B5" s="43" t="n">
        <x:f>AVERAGE('Competitor Master'!M4:M36)</x:f>
        <x:v>4.670967741935486</x:v>
      </x:c>
      <x:c r="D5" s="36" t="str">
        <x:v>Address</x:v>
      </x:c>
      <x:c r="E5" t="str">
        <x:v>13E Paul Matthews Road, Rosedale, Auckland 0632</x:v>
      </x:c>
      <x:c r="F5" t="str">
        <x:v>Google Business</x:v>
      </x:c>
    </x:row>
    <x:row r="6">
      <x:c r="A6" s="36" t="str">
        <x:v>Highest competitor review count</x:v>
      </x:c>
      <x:c r="B6" s="42" t="n">
        <x:f>MAX('Competitor Master'!N4:N36)</x:f>
        <x:v>356</x:v>
      </x:c>
      <x:c r="D6" s="36" t="str">
        <x:v>Google Rating</x:v>
      </x:c>
      <x:c r="E6" t="n">
        <x:v>4.9</x:v>
      </x:c>
      <x:c r="F6" t="str">
        <x:v>Google Business, 21 Aug 2026</x:v>
      </x:c>
    </x:row>
    <x:row r="7">
      <x:c r="A7" s="36" t="str">
        <x:v>Royal Glass Google reviews</x:v>
      </x:c>
      <x:c r="B7" s="42" t="n">
        <x:v>72</x:v>
      </x:c>
      <x:c r="D7" s="36" t="str">
        <x:v>Google Reviews</x:v>
      </x:c>
      <x:c r="E7" t="n">
        <x:v>72</x:v>
      </x:c>
      <x:c r="F7" t="str">
        <x:v>Google Business, 21 Aug 2026</x:v>
      </x:c>
    </x:row>
    <x:row r="10">
      <x:c r="A10" s="18" t="str">
        <x:v>Business</x:v>
      </x:c>
      <x:c r="B10" s="18" t="str">
        <x:v>Google Reviews</x:v>
      </x:c>
    </x:row>
    <x:row r="11">
      <x:c r="A11" t="str">
        <x:v>Wellington Glass &amp; Mirror</x:v>
      </x:c>
      <x:c r="B11" t="n">
        <x:v>356</x:v>
      </x:c>
    </x:row>
    <x:row r="12">
      <x:c r="A12" t="str">
        <x:v>Northland Specialty Glass</x:v>
      </x:c>
      <x:c r="B12" t="n">
        <x:v>210</x:v>
      </x:c>
    </x:row>
    <x:row r="13">
      <x:c r="A13" t="str">
        <x:v>Hastings Glazing Services</x:v>
      </x:c>
      <x:c r="B13" t="n">
        <x:v>156</x:v>
      </x:c>
    </x:row>
    <x:row r="14">
      <x:c r="A14" t="str">
        <x:v>Tauranga Glass</x:v>
      </x:c>
      <x:c r="B14" t="n">
        <x:v>154</x:v>
      </x:c>
    </x:row>
    <x:row r="15">
      <x:c r="A15" t="str">
        <x:v>360 Glass</x:v>
      </x:c>
      <x:c r="B15" t="n">
        <x:v>106</x:v>
      </x:c>
    </x:row>
    <x:row r="16">
      <x:c r="A16" t="str">
        <x:v>Royal Glass</x:v>
      </x:c>
      <x:c r="B16" t="n">
        <x:v>72</x:v>
      </x:c>
    </x:row>
    <x:row r="17">
      <x:c r="A17" t="str">
        <x:v>Stake Glass</x:v>
      </x:c>
      <x:c r="B17" t="n">
        <x:v>62</x:v>
      </x:c>
    </x:row>
    <x:row r="18">
      <x:c r="A18" t="str">
        <x:v>NZ Glass</x:v>
      </x:c>
      <x:c r="B18" t="n">
        <x:v>39</x:v>
      </x:c>
    </x:row>
    <x:row r="20">
      <x:c r="A20" s="10" t="str">
        <x:v>Note: Google review counts are point-in-time location snapshots, not a measure of revenue or total company size. Use them as a local trust / visibility indicator.</x:v>
      </x:c>
      <x:c r="B20" s="10"/>
    </x:row>
    <x:row r="21">
      <x:c r="A21" s="10"/>
      <x:c r="B21" s="10"/>
    </x:row>
    <x:row r="22">
      <x:c r="A22" s="10"/>
      <x:c r="B22" s="10"/>
    </x:row>
  </x:sheetData>
  <x:mergeCells>
    <x:mergeCell ref="A1:F1"/>
    <x:mergeCell ref="A20:B22"/>
  </x:mergeCells>
  <x:pageMargins left="0.7" right="0.7" top="0.75" bottom="0.75" header="0.3" footer="0.3"/>
  <x:drawing xmlns:r="http://schemas.openxmlformats.org/officeDocument/2006/relationships" r:id="R48fe52404628482c"/>
</x:worksheet>
</file>