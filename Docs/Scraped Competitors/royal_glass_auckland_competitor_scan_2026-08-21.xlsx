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1D3EC5D1-90D3-42C1-B31A-B950AE91A04C}" xr6:coauthVersionLast="47" xr6:coauthVersionMax="47" xr10:uidLastSave="{00000000-0000-0000-0000-000000000000}"/>
  <bookViews>
    <workbookView xWindow="22944" yWindow="-4212" windowWidth="27708" windowHeight="16656" xr2:uid="{00000000-000D-0000-FFFF-FFFF00000000}"/>
  </bookViews>
  <sheets>
    <sheet name="Competitor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2" l="1"/>
  <c r="B11" i="2"/>
  <c r="B10" i="2"/>
  <c r="B9" i="2"/>
  <c r="B8" i="2"/>
  <c r="B7" i="2"/>
  <c r="B6" i="2"/>
  <c r="B5" i="2"/>
</calcChain>
</file>

<file path=xl/sharedStrings.xml><?xml version="1.0" encoding="utf-8"?>
<sst xmlns="http://schemas.openxmlformats.org/spreadsheetml/2006/main" count="489" uniqueCount="377">
  <si>
    <t>Royal Glass — Auckland Competitor Intelligence</t>
  </si>
  <si>
    <t>Google Search + Google Maps market scan | Checked 21 Aug 2026 | Blank social metrics mean a reliable current public value could not be verified; no estimates were used.</t>
  </si>
  <si>
    <t>Name</t>
  </si>
  <si>
    <t>Category</t>
  </si>
  <si>
    <t>Google Rating</t>
  </si>
  <si>
    <t>Google Reviews</t>
  </si>
  <si>
    <t>Address</t>
  </si>
  <si>
    <t>Phone</t>
  </si>
  <si>
    <t>Email</t>
  </si>
  <si>
    <t>Website</t>
  </si>
  <si>
    <t>Facebook Profile</t>
  </si>
  <si>
    <t>Facebook Followers</t>
  </si>
  <si>
    <t>Facebook Likes</t>
  </si>
  <si>
    <t>Instagram Profile</t>
  </si>
  <si>
    <t>Instagram Followers</t>
  </si>
  <si>
    <t>Instagram Posts</t>
  </si>
  <si>
    <t>Overlap / Services</t>
  </si>
  <si>
    <t>Notes</t>
  </si>
  <si>
    <t>Google Maps Search</t>
  </si>
  <si>
    <t>Contact / Website Source</t>
  </si>
  <si>
    <t>Social Source</t>
  </si>
  <si>
    <t>Last Checked</t>
  </si>
  <si>
    <t>360 Glass Ltd</t>
  </si>
  <si>
    <t>Glazier</t>
  </si>
  <si>
    <t>32 Hillside Road, Wairau Valley, Auckland 0627</t>
  </si>
  <si>
    <t>0800 360 452</t>
  </si>
  <si>
    <t>office@360glass.co.nz</t>
  </si>
  <si>
    <t>https://www.360glass.co.nz/</t>
  </si>
  <si>
    <t>https://www.facebook.com/360glass/</t>
  </si>
  <si>
    <t>Balustrades; pool fencing; glass showers; splashbacks; mirrors; commercial glazing/partitions</t>
  </si>
  <si>
    <t>Direct multi-service competitor.</t>
  </si>
  <si>
    <t>https://www.google.com/maps/search/?api=1&amp;query=360+Glass+Ltd+32+Hillside+Road%2C+Wairau+Valley%2C+Auckland+0627+Auckland</t>
  </si>
  <si>
    <t>2026-08-21</t>
  </si>
  <si>
    <t>Elite Glazing and Glass Auckland</t>
  </si>
  <si>
    <t>83 Kerwyn Avenue, East Tāmaki, Auckland 2013</t>
  </si>
  <si>
    <t>0800 4 ELITE / 09 558 3127</t>
  </si>
  <si>
    <t>admin@eliteglazing.co.nz</t>
  </si>
  <si>
    <t>https://eliteglazing.co.nz/</t>
  </si>
  <si>
    <t>https://www.facebook.com/eliteglazingandglass</t>
  </si>
  <si>
    <t>Glass showers; mirrors; splashbacks; residential/commercial glazing</t>
  </si>
  <si>
    <t>Adjacent/direct glazing competitor; current services page does not prominently list balustrades.</t>
  </si>
  <si>
    <t>https://www.google.com/maps/search/?api=1&amp;query=Elite+Glazing+and+Glass+Auckland+83+Kerwyn+Avenue%2C+East+T%C4%81maki%2C+Auckland+2013+Auckland</t>
  </si>
  <si>
    <t>https://eliteglazing.co.nz/contact-us/</t>
  </si>
  <si>
    <t>Auckland Glass</t>
  </si>
  <si>
    <t>4 Southdown Lane, Penrose, Auckland 1061</t>
  </si>
  <si>
    <t>0800 804 804</t>
  </si>
  <si>
    <t>https://www.aucklandglass.co.nz/</t>
  </si>
  <si>
    <t>Residential and commercial glazing; general glass services</t>
  </si>
  <si>
    <t>Large Auckland glazing competitor.</t>
  </si>
  <si>
    <t>https://www.google.com/maps/search/?api=1&amp;query=Auckland+Glass+4+Southdown+Lane%2C+Penrose%2C+Auckland+1061+Auckland</t>
  </si>
  <si>
    <t>https://www.aucklandglass.co.nz/contact/</t>
  </si>
  <si>
    <t>New Concept Glass Ltd</t>
  </si>
  <si>
    <t>Glass &amp; mirror shop / Glass specialist</t>
  </si>
  <si>
    <t>17A Airborne Road, Rosedale, Auckland</t>
  </si>
  <si>
    <t>09 444 4457 / 0800 666 138</t>
  </si>
  <si>
    <t>info@newconcept.co.nz</t>
  </si>
  <si>
    <t>https://newconcept.co.nz/</t>
  </si>
  <si>
    <t>https://www.facebook.com/profile.php?id=61593432298219</t>
  </si>
  <si>
    <t>https://www.instagram.com/newconceptglass/</t>
  </si>
  <si>
    <t>Pool fencing; frameless showers; glass balustrades; glass partitions; mirrors; splashbacks; canopies</t>
  </si>
  <si>
    <t>Google Maps previously returned 4 William Pickering Drive; current official site lists 17A Airborne Road.</t>
  </si>
  <si>
    <t>https://www.google.com/maps/search/?api=1&amp;query=New+Concept+Glass+Ltd+17A+Airborne+Road%2C+Rosedale%2C+Auckland+Auckland</t>
  </si>
  <si>
    <t>Haynes Glass</t>
  </si>
  <si>
    <t>Glass &amp; mirror shop</t>
  </si>
  <si>
    <t>1/38 Trugood Drive, East Tāmaki, Auckland 2013</t>
  </si>
  <si>
    <t>0508 452 777</t>
  </si>
  <si>
    <t>sales@haynesglass.co.nz</t>
  </si>
  <si>
    <t>https://www.haynesglass.co.nz/</t>
  </si>
  <si>
    <t>Showers; mirrors; splashbacks; balustrades; pool fences; commercial glazing/partitions</t>
  </si>
  <si>
    <t>https://www.google.com/maps/search/?api=1&amp;query=Haynes+Glass+1%2F38+Trugood+Drive%2C+East+T%C4%81maki%2C+Auckland+2013+Auckland</t>
  </si>
  <si>
    <t>https://www.haynesglass.co.nz/contact</t>
  </si>
  <si>
    <t>Totally Glass</t>
  </si>
  <si>
    <t>68F Greenmount Drive, East Tāmaki, Auckland 2013</t>
  </si>
  <si>
    <t>09 280 5969</t>
  </si>
  <si>
    <t>info@totallyglass.co.nz</t>
  </si>
  <si>
    <t>https://www.totallyglass.co.nz/</t>
  </si>
  <si>
    <t>https://www.facebook.com/totallyglass/</t>
  </si>
  <si>
    <t>https://www.instagram.com/totallyglass/</t>
  </si>
  <si>
    <t>Balustrades; showers; splashbacks; mirrors; glass partitions</t>
  </si>
  <si>
    <t>https://www.google.com/maps/search/?api=1&amp;query=Totally+Glass+68F+Greenmount+Drive%2C+East+T%C4%81maki%2C+Auckland+2013+Auckland</t>
  </si>
  <si>
    <t>Sterling Glass</t>
  </si>
  <si>
    <t>Frameless glass installer</t>
  </si>
  <si>
    <t>Auckland (service area)</t>
  </si>
  <si>
    <t>021 259 4250</t>
  </si>
  <si>
    <t>andrew@sterlingglass.nz</t>
  </si>
  <si>
    <t>https://www.sterlingglass.nz/</t>
  </si>
  <si>
    <t>https://www.facebook.com/sterlingglass</t>
  </si>
  <si>
    <t>https://www.instagram.com/sterling_glass_auckland/</t>
  </si>
  <si>
    <t>Frameless showers; mirrors; splashbacks; balustrades; pool surrounds</t>
  </si>
  <si>
    <t>Google rating/review count not confidently verified in this scan.</t>
  </si>
  <si>
    <t>https://www.google.com/maps/search/?api=1&amp;query=Sterling+Glass+Auckland+%28service+area%29+Auckland</t>
  </si>
  <si>
    <t>Ace Glass Limited</t>
  </si>
  <si>
    <t>Window installation / Glass installer</t>
  </si>
  <si>
    <t>51 Allens Road, East Tāmaki, Auckland 2016</t>
  </si>
  <si>
    <t>021 0224 3081</t>
  </si>
  <si>
    <t>tony.aceglass@gmail.com</t>
  </si>
  <si>
    <t>https://aceglass.co.nz/</t>
  </si>
  <si>
    <t>Balustrades; pool fences; shower boxes; partitions; splashbacks; mirrors</t>
  </si>
  <si>
    <t>Direct multi-service competitor; rating/review count not confidently verified.</t>
  </si>
  <si>
    <t>https://www.google.com/maps/search/?api=1&amp;query=Ace+Glass+Limited+51+Allens+Road%2C+East+T%C4%81maki%2C+Auckland+2016+Auckland</t>
  </si>
  <si>
    <t>Balustrading Concepts NZ</t>
  </si>
  <si>
    <t>Balustrade manufacturer / Installer</t>
  </si>
  <si>
    <t>661A Rosebank Road, Avondale, Auckland 1026</t>
  </si>
  <si>
    <t>09 828 8858</t>
  </si>
  <si>
    <t>admin@balustrading.co.nz</t>
  </si>
  <si>
    <t>https://www.balustrading.co.nz/</t>
  </si>
  <si>
    <t>Glass/aluminium balustrades; pool fences; gates</t>
  </si>
  <si>
    <t>Strong direct competitor for balustrades and pool fencing.</t>
  </si>
  <si>
    <t>https://www.google.com/maps/search/?api=1&amp;query=Balustrading+Concepts+NZ+661A+Rosebank+Road%2C+Avondale%2C+Auckland+1026+Auckland</t>
  </si>
  <si>
    <t>Glass Vice Products</t>
  </si>
  <si>
    <t>Manufacturer / Architectural glass systems</t>
  </si>
  <si>
    <t>24C William Pickering Drive, Rosedale, Auckland 0632</t>
  </si>
  <si>
    <t>09 414 6565</t>
  </si>
  <si>
    <t>info@glassvice.com</t>
  </si>
  <si>
    <t>https://glassvice.com/</t>
  </si>
  <si>
    <t>Glass/aluminium balustrades; pool fencing; frameless showers; architectural facades</t>
  </si>
  <si>
    <t>Direct/adjacent competitor and systems supplier.</t>
  </si>
  <si>
    <t>https://www.google.com/maps/search/?api=1&amp;query=Glass+Vice+Products+24C+William+Pickering+Drive%2C+Rosedale%2C+Auckland+0632+Auckland</t>
  </si>
  <si>
    <t>https://glassvice.com/contact-us/</t>
  </si>
  <si>
    <t>Auckland Frameless | Designer Glass</t>
  </si>
  <si>
    <t>0508 266 753 / 021 835 824</t>
  </si>
  <si>
    <t>johnspencer@aucklandframeless.co.nz</t>
  </si>
  <si>
    <t>https://www.aucklandframeless.co.nz/</t>
  </si>
  <si>
    <t>Frameless showers; balustrades; splashbacks; pool fencing; mirrors; designer glass</t>
  </si>
  <si>
    <t>Direct frameless glass competitor.</t>
  </si>
  <si>
    <t>https://www.google.com/maps/search/?api=1&amp;query=Auckland+Frameless+%7C+Designer+Glass+Auckland+%28service+area%29+Auckland</t>
  </si>
  <si>
    <t>Insight Glass Ltd</t>
  </si>
  <si>
    <t>Manuwai Road, Torbay, Auckland 0630</t>
  </si>
  <si>
    <t>021 036 2857</t>
  </si>
  <si>
    <t>General/custom glazing</t>
  </si>
  <si>
    <t>Website/email not confidently verified.</t>
  </si>
  <si>
    <t>https://www.google.com/maps/search/?api=1&amp;query=Insight+Glass+Ltd+Manuwai+Road%2C+Torbay%2C+Auckland+0630+Auckland</t>
  </si>
  <si>
    <t>Prime Glass Auckland</t>
  </si>
  <si>
    <t>3/36 Greenpark Road, Penrose, Auckland 1061</t>
  </si>
  <si>
    <t>0800 499 664</t>
  </si>
  <si>
    <t>info@primeglass.co.nz</t>
  </si>
  <si>
    <t>https://www.primeglass.co.nz/</t>
  </si>
  <si>
    <t>Residential/commercial glazing; frameless showers; mirrors; splashbacks; partitions</t>
  </si>
  <si>
    <t>Direct/adjacent multi-service glazing competitor.</t>
  </si>
  <si>
    <t>https://www.google.com/maps/search/?api=1&amp;query=Prime+Glass+Auckland+3%2F36+Greenpark+Road%2C+Penrose%2C+Auckland+1061+Auckland</t>
  </si>
  <si>
    <t>South Auckland Glass Co Ltd</t>
  </si>
  <si>
    <t>Glazier / Glass repair</t>
  </si>
  <si>
    <t>13H Ryan Place, Manukau, Auckland 2104</t>
  </si>
  <si>
    <t>09 263 5544</t>
  </si>
  <si>
    <t>admin@southaucklandglass.co.nz</t>
  </si>
  <si>
    <t>https://southaucklandglass.co.nz/</t>
  </si>
  <si>
    <t>General glass repair; residential/commercial glazing; mirrors</t>
  </si>
  <si>
    <t>Adjacent competitor.</t>
  </si>
  <si>
    <t>https://www.google.com/maps/search/?api=1&amp;query=South+Auckland+Glass+Co+Ltd+13H+Ryan+Place%2C+Manukau%2C+Auckland+2104+Auckland</t>
  </si>
  <si>
    <t>JK Glass &amp; Aluminium Ltd</t>
  </si>
  <si>
    <t>Glazier / Aluminium &amp; glass</t>
  </si>
  <si>
    <t>1/4 Kellow Place, Wiri, Auckland 2104</t>
  </si>
  <si>
    <t>021 165 8668</t>
  </si>
  <si>
    <t>Jason.dixon@jkglass.co.nz</t>
  </si>
  <si>
    <t>https://jkglassandaluminium.com/</t>
  </si>
  <si>
    <t>Glazing; mirrors; bespoke frameless solutions; curtain walls/commercial glazing</t>
  </si>
  <si>
    <t>Commercial/architectural overlap.</t>
  </si>
  <si>
    <t>https://www.google.com/maps/search/?api=1&amp;query=JK+Glass+%26+Aluminium+Ltd+1%2F4+Kellow+Place%2C+Wiri%2C+Auckland+2104+Auckland</t>
  </si>
  <si>
    <t>Superior Glass Ltd</t>
  </si>
  <si>
    <t>60 Lake Panorama Drive, Henderson, Auckland 0612</t>
  </si>
  <si>
    <t>021 730 629</t>
  </si>
  <si>
    <t>https://superiorglassltd.co.nz/</t>
  </si>
  <si>
    <t>Mirrors; splashbacks; shower screens; pet doors</t>
  </si>
  <si>
    <t>Residential glass overlap.</t>
  </si>
  <si>
    <t>https://www.google.com/maps/search/?api=1&amp;query=Superior+Glass+Ltd+60+Lake+Panorama+Drive%2C+Henderson%2C+Auckland+0612+Auckland</t>
  </si>
  <si>
    <t>Glass Projects</t>
  </si>
  <si>
    <t>Architectural / Commercial glass</t>
  </si>
  <si>
    <t>11A Ra Ora Drive, Highbrook, Auckland 2013</t>
  </si>
  <si>
    <t>09 273 2929</t>
  </si>
  <si>
    <t>info@glassprojects.co.nz</t>
  </si>
  <si>
    <t>https://glassprojects.co.nz/</t>
  </si>
  <si>
    <t>Architectural/commercial glazing; partitions; facades</t>
  </si>
  <si>
    <t>Direct overlap for commercial/architectural projects.</t>
  </si>
  <si>
    <t>https://www.google.com/maps/search/?api=1&amp;query=Glass+Projects+11A+Ra+Ora+Drive%2C+Highbrook%2C+Auckland+2013+Auckland</t>
  </si>
  <si>
    <t>Glass by Design</t>
  </si>
  <si>
    <t>Glass &amp; mirror shop / Glazier</t>
  </si>
  <si>
    <t>147 McLeod Road, Te Atatū South, Auckland 0610</t>
  </si>
  <si>
    <t>021 407 471</t>
  </si>
  <si>
    <t>henry@gbd.nz</t>
  </si>
  <si>
    <t>https://glassbydesign.co.nz/</t>
  </si>
  <si>
    <t>Balustrades; pool fencing; showers; mirrors; splashbacks; partitions; shopfronts; facades/canopies</t>
  </si>
  <si>
    <t>Formerly The Frameless Glass Company; rebranded in 2023.</t>
  </si>
  <si>
    <t>https://www.google.com/maps/search/?api=1&amp;query=Glass+by+Design+147+McLeod+Road%2C+Te+Atat%C5%AB+South%2C+Auckland+0610+Auckland</t>
  </si>
  <si>
    <t>Total Glass and Mirror</t>
  </si>
  <si>
    <t>12/16 Harrison Road, Mount Wellington, Auckland 1060</t>
  </si>
  <si>
    <t>021 067 1618</t>
  </si>
  <si>
    <t>info@tgm.net.nz</t>
  </si>
  <si>
    <t>https://tgm.net.nz/</t>
  </si>
  <si>
    <t>Showers; mirrors; balustrades; splashbacks; repairs</t>
  </si>
  <si>
    <t>Also associated with Channel Glass &amp; Mirror Systems.</t>
  </si>
  <si>
    <t>https://www.google.com/maps/search/?api=1&amp;query=Total+Glass+and+Mirror+12%2F16+Harrison+Road%2C+Mount+Wellington%2C+Auckland+1060+Auckland</t>
  </si>
  <si>
    <t>Grey Lynn Glass</t>
  </si>
  <si>
    <t>623 Great North Road, Grey Lynn, Auckland 1021</t>
  </si>
  <si>
    <t>09 378 0902</t>
  </si>
  <si>
    <t>https://www.greylynnglass.co.nz/</t>
  </si>
  <si>
    <t>https://www.facebook.com/Grey-Lynn-Glass-181232408674738</t>
  </si>
  <si>
    <t>Glass repairs; glazing; mirrors; frameless showers; custom glass</t>
  </si>
  <si>
    <t>Direct/adjacent residential glass competitor.</t>
  </si>
  <si>
    <t>https://www.google.com/maps/search/?api=1&amp;query=Grey+Lynn+Glass+623+Great+North+Road%2C+Grey+Lynn%2C+Auckland+1021+Auckland</t>
  </si>
  <si>
    <t>United Glass – West Auckland</t>
  </si>
  <si>
    <t>18J Moselle Avenue, Henderson, Auckland 0610</t>
  </si>
  <si>
    <t>0800 50 60 77</t>
  </si>
  <si>
    <t>https://www.unitedglass.co.nz/</t>
  </si>
  <si>
    <t>https://www.facebook.com/unitedglasswest/</t>
  </si>
  <si>
    <t>Splashbacks; frameless showers; mirrors; balustrades; pool fencing; residential/commercial glazing</t>
  </si>
  <si>
    <t>Google Maps listing also shows local branch phone 09 835 1291.</t>
  </si>
  <si>
    <t>https://www.google.com/maps/search/?api=1&amp;query=United+Glass+%E2%80%93+West+Auckland+18J+Moselle+Avenue%2C+Henderson%2C+Auckland+0610+Auckland</t>
  </si>
  <si>
    <t>North Shore Glass</t>
  </si>
  <si>
    <t>85 Barrys Point Road, Takapuna, Auckland 0622</t>
  </si>
  <si>
    <t>09 486 2069</t>
  </si>
  <si>
    <t>https://northshoreglass.co.nz/</t>
  </si>
  <si>
    <t>General glazing; showers; mirrors; glass repairs</t>
  </si>
  <si>
    <t>Direct/adjacent North Shore competitor.</t>
  </si>
  <si>
    <t>https://www.google.com/maps/search/?api=1&amp;query=North+Shore+Glass+85+Barrys+Point+Road%2C+Takapuna%2C+Auckland+0622+Auckland</t>
  </si>
  <si>
    <t>Action Glass Limited</t>
  </si>
  <si>
    <t>Glazier / Glass &amp; mirror shop</t>
  </si>
  <si>
    <t>147 Birkenhead Avenue, Birkenhead, Auckland 0626</t>
  </si>
  <si>
    <t>09 418 3160</t>
  </si>
  <si>
    <t>office@actionglass.co.nz</t>
  </si>
  <si>
    <t>https://www.actionglass.co.nz/</t>
  </si>
  <si>
    <t>General/custom glazing; residential glass; mirrors/showers</t>
  </si>
  <si>
    <t>North Shore direct/adjacent glazing competitor.</t>
  </si>
  <si>
    <t>https://www.google.com/maps/search/?api=1&amp;query=Action+Glass+Limited+147+Birkenhead+Avenue%2C+Birkenhead%2C+Auckland+0626+Auckland</t>
  </si>
  <si>
    <t>Glass Resources Ltd</t>
  </si>
  <si>
    <t>10 Parkhead Place, Rosedale, Auckland 0632</t>
  </si>
  <si>
    <t>021 424 707</t>
  </si>
  <si>
    <t>https://www.glassresources.co.nz/</t>
  </si>
  <si>
    <t>Commercial and architectural glazing</t>
  </si>
  <si>
    <t>Directory source also lists 6 Shaddock Street, Eden Terrace / 09 358 2227; Maps address retained here.</t>
  </si>
  <si>
    <t>https://www.google.com/maps/search/?api=1&amp;query=Glass+Resources+Ltd+10+Parkhead+Place%2C+Rosedale%2C+Auckland+0632+Auckland</t>
  </si>
  <si>
    <t>Innovative Glass Ltd</t>
  </si>
  <si>
    <t>Glass industry / Glazier</t>
  </si>
  <si>
    <t>9/14 Greenmount Drive, East Tāmaki, Auckland 2013</t>
  </si>
  <si>
    <t>09 274 9185 / 0800 764 632</t>
  </si>
  <si>
    <t>sales@innovativeglass.co.nz</t>
  </si>
  <si>
    <t>https://innovativeglass.co.nz/</t>
  </si>
  <si>
    <t>Showers; splashbacks; pool fencing; balustrades; commercial partitions/shopfronts/canopies</t>
  </si>
  <si>
    <t>Official site indicates Instagram presence, but exact public profile URL was not confidently verified.</t>
  </si>
  <si>
    <t>https://www.google.com/maps/search/?api=1&amp;query=Innovative+Glass+Ltd+9%2F14+Greenmount+Drive%2C+East+T%C4%81maki%2C+Auckland+2013+Auckland</t>
  </si>
  <si>
    <t>Image Glass Ltd</t>
  </si>
  <si>
    <t>Glass industry / Interior glass</t>
  </si>
  <si>
    <t>2 Donnor Place, Mount Wellington, Auckland 1060</t>
  </si>
  <si>
    <t>0800 33 26 46 / 09 576 9858</t>
  </si>
  <si>
    <t>sales@imageglass.co.nz</t>
  </si>
  <si>
    <t>https://www.imageglass.co.nz/</t>
  </si>
  <si>
    <t>Splashbacks; frameless showers; mirrors; doors/walls; interior glass</t>
  </si>
  <si>
    <t>Strong interiors/residential overlap.</t>
  </si>
  <si>
    <t>https://www.google.com/maps/search/?api=1&amp;query=Image+Glass+Ltd+2+Donnor+Place%2C+Mount+Wellington%2C+Auckland+1060+Auckland</t>
  </si>
  <si>
    <t>Oben Showers</t>
  </si>
  <si>
    <t>Shower / Frameless glass specialist</t>
  </si>
  <si>
    <t>10 Parity Place, Hillcrest, Auckland 0627</t>
  </si>
  <si>
    <t>09 443 3879</t>
  </si>
  <si>
    <t>sales@oben.co.nz</t>
  </si>
  <si>
    <t>https://www.oben.co.nz/</t>
  </si>
  <si>
    <t>Frameless glass showers</t>
  </si>
  <si>
    <t>Focused shower-glass competitor.</t>
  </si>
  <si>
    <t>https://www.google.com/maps/search/?api=1&amp;query=Oben+Showers+10+Parity+Place%2C+Hillcrest%2C+Auckland+0627+Auckland</t>
  </si>
  <si>
    <t>Grand Glass &amp; Hardware Ltd</t>
  </si>
  <si>
    <t>Building materials / Glass systems supplier</t>
  </si>
  <si>
    <t>18 Parkway Drive, Rosedale, Auckland 0632</t>
  </si>
  <si>
    <t>09 478 9778</t>
  </si>
  <si>
    <t>https://grandglass.co.nz/</t>
  </si>
  <si>
    <t>Frameless glass balustrade systems; glass hardware</t>
  </si>
  <si>
    <t>Supplier/installer-adjacent competitor.</t>
  </si>
  <si>
    <t>https://www.google.com/maps/search/?api=1&amp;query=Grand+Glass+%26+Hardware+Ltd+18+Parkway+Drive%2C+Rosedale%2C+Auckland+0632+Auckland</t>
  </si>
  <si>
    <t>A Touch Of Glass</t>
  </si>
  <si>
    <t>670 Mount Albert Road, Royal Oak, Auckland 1023</t>
  </si>
  <si>
    <t>09 625 9466</t>
  </si>
  <si>
    <t>Glass and mirror; general glazing</t>
  </si>
  <si>
    <t>Website/social profiles not confidently verified.</t>
  </si>
  <si>
    <t>https://www.google.com/maps/search/?api=1&amp;query=A+Touch+Of+Glass+670+Mount+Albert+Road%2C+Royal+Oak%2C+Auckland+1023+Auckland</t>
  </si>
  <si>
    <t>Summit Glass Limited</t>
  </si>
  <si>
    <t>Glass manufacturer</t>
  </si>
  <si>
    <t>31 Stonedon Drive, East Tāmaki, Auckland 2013</t>
  </si>
  <si>
    <t>09 278 6648</t>
  </si>
  <si>
    <t>Glass manufacturing/supply</t>
  </si>
  <si>
    <t>Adjacent supplier/competitor; website/email not confidently verified.</t>
  </si>
  <si>
    <t>https://www.google.com/maps/search/?api=1&amp;query=Summit+Glass+Limited+31+Stonedon+Drive%2C+East+T%C4%81maki%2C+Auckland+2013+Auckland</t>
  </si>
  <si>
    <t>Auckland Showers &amp; Frameless Glass Ltd</t>
  </si>
  <si>
    <t>Frameless shower / Glass installer</t>
  </si>
  <si>
    <t>021 182 9892</t>
  </si>
  <si>
    <t>info@aucklandshowers.co.nz</t>
  </si>
  <si>
    <t>https://www.aucklandshowers.co.nz/</t>
  </si>
  <si>
    <t>Frameless showers</t>
  </si>
  <si>
    <t>Registered office source found at 135 Broadway, Newmarket; not confirmed as showroom. Rating/reviews not confidently verified.</t>
  </si>
  <si>
    <t>https://www.google.com/maps/search/?api=1&amp;query=Auckland+Showers+%26+Frameless+Glass+Ltd+Auckland+%28service+area%29+Auckland</t>
  </si>
  <si>
    <t>Paynes Glass Ltd</t>
  </si>
  <si>
    <t>38 Union Road, RD 3, Pukekohe 2678</t>
  </si>
  <si>
    <t>0800 729 637 / 021 159 1207</t>
  </si>
  <si>
    <t>rikky@paynesglass.co.nz</t>
  </si>
  <si>
    <t>https://www.paynesglass.co.nz/</t>
  </si>
  <si>
    <t>Showers; splashbacks; mirrors; balustrades; pool fencing; partitions; commercial/residential</t>
  </si>
  <si>
    <t>Google business result did not expose a full address in this scan; registered/base address used.</t>
  </si>
  <si>
    <t>https://www.google.com/maps/search/?api=1&amp;query=Paynes+Glass+Ltd+38+Union+Road%2C+RD+3%2C+Pukekohe+2678+Auckland</t>
  </si>
  <si>
    <t>Atlas Glass</t>
  </si>
  <si>
    <t>12A Saunders Place, Avondale, Auckland 1026</t>
  </si>
  <si>
    <t>09 820 0160</t>
  </si>
  <si>
    <t>office@atlasglass.co.nz</t>
  </si>
  <si>
    <t>https://www.atlasglass.co.nz/</t>
  </si>
  <si>
    <t>General glazing; mirrors; glass supply; double glazing</t>
  </si>
  <si>
    <t>Adjacent glazing competitor.</t>
  </si>
  <si>
    <t>https://www.google.com/maps/search/?api=1&amp;query=Atlas+Glass+12A+Saunders+Place%2C+Avondale%2C+Auckland+1026+Auckland</t>
  </si>
  <si>
    <t>Glassways</t>
  </si>
  <si>
    <t>140 Manukau Road, Pukekohe, Auckland 2120</t>
  </si>
  <si>
    <t>09 238 9999 / 0800 868 468</t>
  </si>
  <si>
    <t>info@glassways.co.nz</t>
  </si>
  <si>
    <t>https://glassways.co.nz/</t>
  </si>
  <si>
    <t>Balustrades; pool fencing; showers; mirrors; splashbacks; partitions; glazing</t>
  </si>
  <si>
    <t>Direct multi-service competitor in southern Auckland/Pukekohe.</t>
  </si>
  <si>
    <t>https://www.google.com/maps/search/?api=1&amp;query=Glassways+140+Manukau+Road%2C+Pukekohe%2C+Auckland+2120+Auckland</t>
  </si>
  <si>
    <t>Glen Innes Glass</t>
  </si>
  <si>
    <t>237 Taniwha Street, Glen Innes, Auckland 1072</t>
  </si>
  <si>
    <t>09 528 9301</t>
  </si>
  <si>
    <t>office@giglass.co.nz</t>
  </si>
  <si>
    <t>https://giglass.co.nz/</t>
  </si>
  <si>
    <t>https://www.facebook.com/profile.php?id=100076066777668</t>
  </si>
  <si>
    <t>Frameless balustrades; custom showers; mirrors; splashbacks; partitions/shopfront glazing; repairs</t>
  </si>
  <si>
    <t>https://www.google.com/maps/search/?api=1&amp;query=Glen+Innes+Glass+237+Taniwha+Street%2C+Glen+Innes%2C+Auckland+1072+Auckland</t>
  </si>
  <si>
    <t>Glass Rescue Ltd</t>
  </si>
  <si>
    <t>Glass repair service / Glazier</t>
  </si>
  <si>
    <t>52 Ambury Road, Māngere Bridge, Auckland 2022</t>
  </si>
  <si>
    <t>027 576 4554 / 09 634 7354</t>
  </si>
  <si>
    <t>nick@glassrescue.co.nz</t>
  </si>
  <si>
    <t>https://www.glassrescue.co.nz/</t>
  </si>
  <si>
    <t>Mirrors; glass doors; splashbacks; frameless showers; residential/commercial glass</t>
  </si>
  <si>
    <t>Residential and repair overlap.</t>
  </si>
  <si>
    <t>https://www.google.com/maps/search/?api=1&amp;query=Glass+Rescue+Ltd+52+Ambury+Road%2C+M%C4%81ngere+Bridge%2C+Auckland+2022+Auckland</t>
  </si>
  <si>
    <t>Balustrading and More</t>
  </si>
  <si>
    <t>Glass &amp; mirror shop / Balustrade</t>
  </si>
  <si>
    <t>B/22 Saunders Place, Avondale, Auckland 1010</t>
  </si>
  <si>
    <t>09 435 3089</t>
  </si>
  <si>
    <t>Balustrades; glass railing</t>
  </si>
  <si>
    <t>Direct balustrade competitor; rating/reviews and web presence not confidently verified.</t>
  </si>
  <si>
    <t>https://www.google.com/maps/search/?api=1&amp;query=Balustrading+and+More+B%2F22+Saunders+Place%2C+Avondale%2C+Auckland+1010+Auckland</t>
  </si>
  <si>
    <t>Glass Systems</t>
  </si>
  <si>
    <t>Glazier / Architectural glass</t>
  </si>
  <si>
    <t>517 Rosebank Road, Avondale, Auckland 1026</t>
  </si>
  <si>
    <t>09 820 9191</t>
  </si>
  <si>
    <t>stephen@glasssystems.co.nz</t>
  </si>
  <si>
    <t>https://www.glasssystems.co.nz/</t>
  </si>
  <si>
    <t>Balustrades; pool fencing; showers; partitions; mirrors; architectural glass</t>
  </si>
  <si>
    <t>https://www.google.com/maps/search/?api=1&amp;query=Glass+Systems+517+Rosebank+Road%2C+Avondale%2C+Auckland+1026+Auckland</t>
  </si>
  <si>
    <t>Auckland Glaziers</t>
  </si>
  <si>
    <t>Glazier / Window installation</t>
  </si>
  <si>
    <t>115 Great South Road, Ōtāhuhu, Auckland 1062</t>
  </si>
  <si>
    <t>0800 733 933</t>
  </si>
  <si>
    <t>https://aucklandglaziers.co.nz/</t>
  </si>
  <si>
    <t>Bathroom mirrors; coloured splashbacks; glazing/windows; general glass</t>
  </si>
  <si>
    <t>Possible brand/branch relationship with another glass business at the same address; kept because Maps shows a distinct listing.</t>
  </si>
  <si>
    <t>https://www.google.com/maps/search/?api=1&amp;query=Auckland+Glaziers+115+Great+South+Road%2C+%C5%8Ct%C4%81huhu%2C+Auckland+1062+Auckland</t>
  </si>
  <si>
    <t>Hi Class Glass Ltd</t>
  </si>
  <si>
    <t>24C Morrin Road, St Johns, Auckland 1072</t>
  </si>
  <si>
    <t>0800 633 345</t>
  </si>
  <si>
    <t>Glass and mirror; custom/general glazing</t>
  </si>
  <si>
    <t>Website/email/social profiles not confidently verified.</t>
  </si>
  <si>
    <t>https://www.google.com/maps/search/?api=1&amp;query=Hi+Class+Glass+Ltd+24C+Morrin+Road%2C+St+Johns%2C+Auckland+1072+Auckland</t>
  </si>
  <si>
    <t>Royal Glass — Competitor Scan Summary</t>
  </si>
  <si>
    <t>Coverage summary. Facebook/Instagram follower, like and post counts are left blank when Meta does not expose a current value reliably to public search.</t>
  </si>
  <si>
    <t>Metric</t>
  </si>
  <si>
    <t>Value</t>
  </si>
  <si>
    <t>Top 10 competitor</t>
  </si>
  <si>
    <t>Google reviews</t>
  </si>
  <si>
    <t>Total competitors</t>
  </si>
  <si>
    <t>With Google rating</t>
  </si>
  <si>
    <t>With website</t>
  </si>
  <si>
    <t>With email</t>
  </si>
  <si>
    <t>With Facebook profile</t>
  </si>
  <si>
    <t>With Instagram profile</t>
  </si>
  <si>
    <t>Average Google rating</t>
  </si>
  <si>
    <t>Total Google reviews</t>
  </si>
  <si>
    <t>Interpretation</t>
  </si>
  <si>
    <t>FB/IG counts</t>
  </si>
  <si>
    <t>Blank means a current public count could not be verified; it does not mean zero.</t>
  </si>
  <si>
    <t>Company inclusion</t>
  </si>
  <si>
    <t>Businesses remain included even when Facebook or Instagram could not be verified.</t>
  </si>
  <si>
    <t>Scope</t>
  </si>
  <si>
    <t>Auckland direct competitors plus adjacent glass businesses overlapping Royal Glass 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</si>
</sst>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name val="Carlito"/>
    </font>
    <font>
      <b/>
      <sz val="11"/>
      <color rgb="FFFFFFFF"/>
      <name val="Carlito"/>
    </font>
    <font>
      <i/>
      <sz val="11"/>
      <color rgb="FF264653"/>
      <name val="Carlito"/>
    </font>
    <font>
      <b/>
      <sz val="11"/>
      <color rgb="FF264653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43B45"/>
      </patternFill>
    </fill>
    <fill>
      <patternFill patternType="solid">
        <fgColor rgb="FFEAF2F3"/>
      </patternFill>
    </fill>
    <fill>
      <patternFill patternType="solid">
        <fgColor rgb="FF16777D"/>
      </patternFill>
    </fill>
    <fill>
      <patternFill patternType="solid">
        <fgColor rgb="FFF7FAFA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4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1" fillId="4" borderId="1" xfId="0" applyNumberFormat="1" applyFont="1" applyFill="1" applyBorder="1" applyAlignment="1">
      <alignment horizontal="center" vertical="center" wrapText="1"/>
    </xf>
    <xf numFmtId="0" fontId="1" fillId="4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/>
    <xf numFmtId="0" fontId="1" fillId="2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>
      <alignment wrapText="1"/>
    </xf>
    <xf numFmtId="0" fontId="1" fillId="4" borderId="4" xfId="0" applyNumberFormat="1" applyFont="1" applyFill="1" applyBorder="1" applyAlignment="1">
      <alignment horizontal="center"/>
    </xf>
    <xf numFmtId="0" fontId="0" fillId="0" borderId="4" xfId="0" applyNumberFormat="1" applyFont="1" applyFill="1" applyBorder="1"/>
    <xf numFmtId="2" fontId="0" fillId="0" borderId="4" xfId="0" applyNumberFormat="1" applyFont="1" applyFill="1" applyBorder="1"/>
    <xf numFmtId="0" fontId="3" fillId="0" borderId="2" xfId="0" applyNumberFormat="1" applyFont="1" applyFill="1" applyBorder="1"/>
    <xf numFmtId="3" fontId="0" fillId="0" borderId="5" xfId="0" applyNumberFormat="1" applyFont="1" applyFill="1" applyBorder="1"/>
    <xf numFmtId="3" fontId="0" fillId="0" borderId="4" xfId="0" applyNumberFormat="1" applyFont="1" applyFill="1" applyBorder="1"/>
    <xf numFmtId="0" fontId="0" fillId="0" borderId="2" xfId="0" applyNumberFormat="1" applyFont="1" applyFill="1" applyBorder="1" applyAlignment="1">
      <alignment wrapText="1"/>
    </xf>
    <xf numFmtId="0" fontId="1" fillId="2" borderId="4" xfId="0" applyNumberFormat="1" applyFont="1" applyFill="1" applyBorder="1" applyAlignment="1">
      <alignment wrapText="1"/>
    </xf>
    <xf numFmtId="0" fontId="0" fillId="0" borderId="4" xfId="0" applyNumberFormat="1" applyFont="1" applyFill="1" applyBorder="1" applyAlignment="1">
      <alignment wrapText="1"/>
    </xf>
    <xf numFmtId="0" fontId="3" fillId="0" borderId="2" xfId="0" applyNumberFormat="1" applyFont="1" applyFill="1" applyBorder="1" applyAlignment="1">
      <alignment wrapText="1"/>
    </xf>
    <xf numFmtId="0" fontId="0" fillId="0" borderId="5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vertical="center" wrapText="1"/>
    </xf>
    <xf numFmtId="0" fontId="2" fillId="3" borderId="0" xfId="0" applyNumberFormat="1" applyFont="1" applyFill="1" applyBorder="1" applyAlignment="1">
      <alignment wrapText="1"/>
    </xf>
    <xf numFmtId="0" fontId="0" fillId="5" borderId="0" xfId="0" applyNumberFormat="1" applyFont="1" applyFill="1" applyBorder="1" applyAlignment="1">
      <alignment vertical="top"/>
    </xf>
    <xf numFmtId="164" fontId="0" fillId="5" borderId="0" xfId="0" applyNumberFormat="1" applyFont="1" applyFill="1" applyBorder="1" applyAlignment="1">
      <alignment vertical="top"/>
    </xf>
    <xf numFmtId="3" fontId="0" fillId="5" borderId="0" xfId="0" applyNumberFormat="1" applyFont="1" applyFill="1" applyBorder="1" applyAlignment="1">
      <alignment vertical="top"/>
    </xf>
    <xf numFmtId="0" fontId="0" fillId="5" borderId="1" xfId="0" applyNumberFormat="1" applyFont="1" applyFill="1" applyBorder="1" applyAlignment="1">
      <alignment vertical="top"/>
    </xf>
    <xf numFmtId="0" fontId="0" fillId="0" borderId="0" xfId="0" applyNumberFormat="1" applyFont="1" applyFill="1" applyBorder="1" applyAlignment="1">
      <alignment vertical="top"/>
    </xf>
    <xf numFmtId="164" fontId="0" fillId="0" borderId="0" xfId="0" applyNumberFormat="1" applyFont="1" applyFill="1" applyBorder="1" applyAlignment="1">
      <alignment vertical="top"/>
    </xf>
    <xf numFmtId="3" fontId="0" fillId="0" borderId="0" xfId="0" applyNumberFormat="1" applyFont="1" applyFill="1" applyBorder="1" applyAlignment="1">
      <alignment vertical="top"/>
    </xf>
    <xf numFmtId="0" fontId="0" fillId="0" borderId="1" xfId="0" applyNumberFormat="1" applyFont="1" applyFill="1" applyBorder="1" applyAlignment="1">
      <alignment vertical="top"/>
    </xf>
    <xf numFmtId="0" fontId="0" fillId="0" borderId="2" xfId="0" applyNumberFormat="1" applyFont="1" applyFill="1" applyBorder="1" applyAlignment="1">
      <alignment vertical="top"/>
    </xf>
    <xf numFmtId="164" fontId="0" fillId="0" borderId="2" xfId="0" applyNumberFormat="1" applyFont="1" applyFill="1" applyBorder="1" applyAlignment="1">
      <alignment vertical="top"/>
    </xf>
    <xf numFmtId="3" fontId="0" fillId="0" borderId="2" xfId="0" applyNumberFormat="1" applyFont="1" applyFill="1" applyBorder="1" applyAlignment="1">
      <alignment vertical="top"/>
    </xf>
    <xf numFmtId="0" fontId="0" fillId="0" borderId="3" xfId="0" applyNumberFormat="1" applyFont="1" applyFill="1" applyBorder="1" applyAlignment="1">
      <alignment vertical="top"/>
    </xf>
  </cellXfs>
  <cellStyles count="1">
    <cellStyle name="Normal" xfId="0" builtinId="0"/>
  </cellStyles>
  <dxfs count="21"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Top 10 by Google Review Count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Google reviews</c:v>
          </c:tx>
          <c:invertIfNegative val="1"/>
          <c:cat>
            <c:strRef>
              <c:f>Summary!$D$5:$D$14</c:f>
              <c:strCache>
                <c:ptCount val="10"/>
                <c:pt idx="0">
                  <c:v>Auckland Glass</c:v>
                </c:pt>
                <c:pt idx="1">
                  <c:v>Elite Glazing and Glass Auckland</c:v>
                </c:pt>
                <c:pt idx="2">
                  <c:v>North Shore Glass</c:v>
                </c:pt>
                <c:pt idx="3">
                  <c:v>Image Glass Ltd</c:v>
                </c:pt>
                <c:pt idx="4">
                  <c:v>360 Glass Ltd</c:v>
                </c:pt>
                <c:pt idx="5">
                  <c:v>Haynes Glass</c:v>
                </c:pt>
                <c:pt idx="6">
                  <c:v>Grey Lynn Glass</c:v>
                </c:pt>
                <c:pt idx="7">
                  <c:v>Action Glass Limited</c:v>
                </c:pt>
                <c:pt idx="8">
                  <c:v>Prime Glass Auckland</c:v>
                </c:pt>
                <c:pt idx="9">
                  <c:v>Grand Glass &amp; Hardware Ltd</c:v>
                </c:pt>
              </c:strCache>
            </c:strRef>
          </c:cat>
          <c:val>
            <c:numRef>
              <c:f>Summary!$E$5:$E$14</c:f>
              <c:numCache>
                <c:formatCode>#,##0</c:formatCode>
                <c:ptCount val="10"/>
                <c:pt idx="0">
                  <c:v>457</c:v>
                </c:pt>
                <c:pt idx="1">
                  <c:v>123</c:v>
                </c:pt>
                <c:pt idx="2">
                  <c:v>111</c:v>
                </c:pt>
                <c:pt idx="3">
                  <c:v>108</c:v>
                </c:pt>
                <c:pt idx="4">
                  <c:v>106</c:v>
                </c:pt>
                <c:pt idx="5">
                  <c:v>80</c:v>
                </c:pt>
                <c:pt idx="6">
                  <c:v>78</c:v>
                </c:pt>
                <c:pt idx="7">
                  <c:v>77</c:v>
                </c:pt>
                <c:pt idx="8">
                  <c:v>75</c:v>
                </c:pt>
                <c:pt idx="9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25-4049-AE21-B01CE68D4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etitorTable" displayName="CompetitorTable" ref="A4:T44" totalsRowShown="0" dataDxfId="0">
  <tableColumns count="20">
    <tableColumn id="1" xr3:uid="{00000000-0010-0000-0000-000001000000}" name="Name" dataDxfId="20"/>
    <tableColumn id="2" xr3:uid="{00000000-0010-0000-0000-000002000000}" name="Category" dataDxfId="19"/>
    <tableColumn id="3" xr3:uid="{00000000-0010-0000-0000-000003000000}" name="Google Rating" dataDxfId="18"/>
    <tableColumn id="4" xr3:uid="{00000000-0010-0000-0000-000004000000}" name="Google Reviews" dataDxfId="17"/>
    <tableColumn id="5" xr3:uid="{00000000-0010-0000-0000-000005000000}" name="Address" dataDxfId="16"/>
    <tableColumn id="6" xr3:uid="{00000000-0010-0000-0000-000006000000}" name="Phone" dataDxfId="15"/>
    <tableColumn id="7" xr3:uid="{00000000-0010-0000-0000-000007000000}" name="Email" dataDxfId="14"/>
    <tableColumn id="8" xr3:uid="{00000000-0010-0000-0000-000008000000}" name="Website" dataDxfId="13"/>
    <tableColumn id="9" xr3:uid="{00000000-0010-0000-0000-000009000000}" name="Facebook Profile" dataDxfId="12"/>
    <tableColumn id="10" xr3:uid="{00000000-0010-0000-0000-00000A000000}" name="Facebook Followers" dataDxfId="11"/>
    <tableColumn id="11" xr3:uid="{00000000-0010-0000-0000-00000B000000}" name="Facebook Likes" dataDxfId="10"/>
    <tableColumn id="12" xr3:uid="{00000000-0010-0000-0000-00000C000000}" name="Instagram Profile" dataDxfId="9"/>
    <tableColumn id="13" xr3:uid="{00000000-0010-0000-0000-00000D000000}" name="Instagram Followers" dataDxfId="8"/>
    <tableColumn id="14" xr3:uid="{00000000-0010-0000-0000-00000E000000}" name="Instagram Posts" dataDxfId="7"/>
    <tableColumn id="15" xr3:uid="{00000000-0010-0000-0000-00000F000000}" name="Overlap / Services" dataDxfId="6"/>
    <tableColumn id="16" xr3:uid="{00000000-0010-0000-0000-000010000000}" name="Notes" dataDxfId="5"/>
    <tableColumn id="17" xr3:uid="{00000000-0010-0000-0000-000011000000}" name="Google Maps Search" dataDxfId="4"/>
    <tableColumn id="18" xr3:uid="{00000000-0010-0000-0000-000012000000}" name="Contact / Website Source" dataDxfId="3"/>
    <tableColumn id="19" xr3:uid="{00000000-0010-0000-0000-000013000000}" name="Social Source" dataDxfId="2"/>
    <tableColumn id="20" xr3:uid="{00000000-0010-0000-0000-000014000000}" name="Last Checke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4"/>
  <sheetViews>
    <sheetView tabSelected="1" topLeftCell="A2" workbookViewId="0">
      <selection activeCell="A5" sqref="A5:T44"/>
    </sheetView>
  </sheetViews>
  <sheetFormatPr defaultRowHeight="14.25"/>
  <cols>
    <col min="1" max="1" width="30" customWidth="1"/>
    <col min="2" max="2" width="28" customWidth="1"/>
    <col min="3" max="3" width="12" customWidth="1"/>
    <col min="4" max="4" width="13" customWidth="1"/>
    <col min="5" max="5" width="40" customWidth="1"/>
    <col min="6" max="6" width="25" customWidth="1"/>
    <col min="7" max="7" width="31" customWidth="1"/>
    <col min="8" max="8" width="34" customWidth="1"/>
    <col min="9" max="9" width="45" customWidth="1"/>
    <col min="10" max="10" width="16" customWidth="1"/>
    <col min="11" max="11" width="14" customWidth="1"/>
    <col min="12" max="12" width="45" customWidth="1"/>
    <col min="13" max="13" width="16" customWidth="1"/>
    <col min="14" max="14" width="14" customWidth="1"/>
    <col min="15" max="15" width="48" customWidth="1"/>
    <col min="16" max="16" width="50" customWidth="1"/>
    <col min="17" max="17" width="54" customWidth="1"/>
    <col min="18" max="19" width="46" customWidth="1"/>
    <col min="20" max="20" width="14" customWidth="1"/>
  </cols>
  <sheetData>
    <row r="1" spans="1:20" ht="30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27.9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</row>
    <row r="4" spans="1:20" ht="33.950000000000003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3" t="s">
        <v>21</v>
      </c>
    </row>
    <row r="5" spans="1:20">
      <c r="A5" s="22" t="s">
        <v>22</v>
      </c>
      <c r="B5" s="22" t="s">
        <v>23</v>
      </c>
      <c r="C5" s="23">
        <v>4.9000000000000004</v>
      </c>
      <c r="D5" s="24">
        <v>106</v>
      </c>
      <c r="E5" s="22" t="s">
        <v>24</v>
      </c>
      <c r="F5" s="22" t="s">
        <v>25</v>
      </c>
      <c r="G5" s="22" t="s">
        <v>26</v>
      </c>
      <c r="H5" s="22" t="s">
        <v>27</v>
      </c>
      <c r="I5" s="22" t="s">
        <v>28</v>
      </c>
      <c r="J5" s="24"/>
      <c r="K5" s="24"/>
      <c r="L5" s="22"/>
      <c r="M5" s="24"/>
      <c r="N5" s="24"/>
      <c r="O5" s="22" t="s">
        <v>29</v>
      </c>
      <c r="P5" s="22" t="s">
        <v>30</v>
      </c>
      <c r="Q5" s="22" t="s">
        <v>31</v>
      </c>
      <c r="R5" s="22" t="s">
        <v>27</v>
      </c>
      <c r="S5" s="22" t="s">
        <v>28</v>
      </c>
      <c r="T5" s="25" t="s">
        <v>32</v>
      </c>
    </row>
    <row r="6" spans="1:20">
      <c r="A6" s="26" t="s">
        <v>33</v>
      </c>
      <c r="B6" s="26" t="s">
        <v>23</v>
      </c>
      <c r="C6" s="27">
        <v>4.9000000000000004</v>
      </c>
      <c r="D6" s="28">
        <v>123</v>
      </c>
      <c r="E6" s="26" t="s">
        <v>34</v>
      </c>
      <c r="F6" s="26" t="s">
        <v>35</v>
      </c>
      <c r="G6" s="26" t="s">
        <v>36</v>
      </c>
      <c r="H6" s="26" t="s">
        <v>37</v>
      </c>
      <c r="I6" s="26" t="s">
        <v>38</v>
      </c>
      <c r="J6" s="28"/>
      <c r="K6" s="28"/>
      <c r="L6" s="26"/>
      <c r="M6" s="28"/>
      <c r="N6" s="28"/>
      <c r="O6" s="26" t="s">
        <v>39</v>
      </c>
      <c r="P6" s="26" t="s">
        <v>40</v>
      </c>
      <c r="Q6" s="26" t="s">
        <v>41</v>
      </c>
      <c r="R6" s="26" t="s">
        <v>42</v>
      </c>
      <c r="S6" s="26" t="s">
        <v>38</v>
      </c>
      <c r="T6" s="29" t="s">
        <v>32</v>
      </c>
    </row>
    <row r="7" spans="1:20">
      <c r="A7" s="22" t="s">
        <v>43</v>
      </c>
      <c r="B7" s="22" t="s">
        <v>23</v>
      </c>
      <c r="C7" s="23">
        <v>4.7</v>
      </c>
      <c r="D7" s="24">
        <v>457</v>
      </c>
      <c r="E7" s="22" t="s">
        <v>44</v>
      </c>
      <c r="F7" s="22" t="s">
        <v>45</v>
      </c>
      <c r="G7" s="22"/>
      <c r="H7" s="22" t="s">
        <v>46</v>
      </c>
      <c r="I7" s="22"/>
      <c r="J7" s="24"/>
      <c r="K7" s="24"/>
      <c r="L7" s="22"/>
      <c r="M7" s="24"/>
      <c r="N7" s="24"/>
      <c r="O7" s="22" t="s">
        <v>47</v>
      </c>
      <c r="P7" s="22" t="s">
        <v>48</v>
      </c>
      <c r="Q7" s="22" t="s">
        <v>49</v>
      </c>
      <c r="R7" s="22" t="s">
        <v>50</v>
      </c>
      <c r="S7" s="22"/>
      <c r="T7" s="25" t="s">
        <v>32</v>
      </c>
    </row>
    <row r="8" spans="1:20">
      <c r="A8" s="26" t="s">
        <v>51</v>
      </c>
      <c r="B8" s="26" t="s">
        <v>52</v>
      </c>
      <c r="C8" s="27">
        <v>4.2</v>
      </c>
      <c r="D8" s="28">
        <v>18</v>
      </c>
      <c r="E8" s="26" t="s">
        <v>53</v>
      </c>
      <c r="F8" s="26" t="s">
        <v>54</v>
      </c>
      <c r="G8" s="26" t="s">
        <v>55</v>
      </c>
      <c r="H8" s="26" t="s">
        <v>56</v>
      </c>
      <c r="I8" s="26" t="s">
        <v>57</v>
      </c>
      <c r="J8" s="28"/>
      <c r="K8" s="28"/>
      <c r="L8" s="26" t="s">
        <v>58</v>
      </c>
      <c r="M8" s="28"/>
      <c r="N8" s="28"/>
      <c r="O8" s="26" t="s">
        <v>59</v>
      </c>
      <c r="P8" s="26" t="s">
        <v>60</v>
      </c>
      <c r="Q8" s="26" t="s">
        <v>61</v>
      </c>
      <c r="R8" s="26" t="s">
        <v>56</v>
      </c>
      <c r="S8" s="26" t="s">
        <v>58</v>
      </c>
      <c r="T8" s="29" t="s">
        <v>32</v>
      </c>
    </row>
    <row r="9" spans="1:20">
      <c r="A9" s="22" t="s">
        <v>62</v>
      </c>
      <c r="B9" s="22" t="s">
        <v>63</v>
      </c>
      <c r="C9" s="23">
        <v>4.8</v>
      </c>
      <c r="D9" s="24">
        <v>80</v>
      </c>
      <c r="E9" s="22" t="s">
        <v>64</v>
      </c>
      <c r="F9" s="22" t="s">
        <v>65</v>
      </c>
      <c r="G9" s="22" t="s">
        <v>66</v>
      </c>
      <c r="H9" s="22" t="s">
        <v>67</v>
      </c>
      <c r="I9" s="22"/>
      <c r="J9" s="24"/>
      <c r="K9" s="24"/>
      <c r="L9" s="22"/>
      <c r="M9" s="24"/>
      <c r="N9" s="24"/>
      <c r="O9" s="22" t="s">
        <v>68</v>
      </c>
      <c r="P9" s="22" t="s">
        <v>30</v>
      </c>
      <c r="Q9" s="22" t="s">
        <v>69</v>
      </c>
      <c r="R9" s="22" t="s">
        <v>70</v>
      </c>
      <c r="S9" s="22"/>
      <c r="T9" s="25" t="s">
        <v>32</v>
      </c>
    </row>
    <row r="10" spans="1:20">
      <c r="A10" s="26" t="s">
        <v>71</v>
      </c>
      <c r="B10" s="26" t="s">
        <v>63</v>
      </c>
      <c r="C10" s="27">
        <v>4.5</v>
      </c>
      <c r="D10" s="28">
        <v>16</v>
      </c>
      <c r="E10" s="26" t="s">
        <v>72</v>
      </c>
      <c r="F10" s="26" t="s">
        <v>73</v>
      </c>
      <c r="G10" s="26" t="s">
        <v>74</v>
      </c>
      <c r="H10" s="26" t="s">
        <v>75</v>
      </c>
      <c r="I10" s="26" t="s">
        <v>76</v>
      </c>
      <c r="J10" s="28"/>
      <c r="K10" s="28"/>
      <c r="L10" s="26" t="s">
        <v>77</v>
      </c>
      <c r="M10" s="28"/>
      <c r="N10" s="28"/>
      <c r="O10" s="26" t="s">
        <v>78</v>
      </c>
      <c r="P10" s="26" t="s">
        <v>30</v>
      </c>
      <c r="Q10" s="26" t="s">
        <v>79</v>
      </c>
      <c r="R10" s="26" t="s">
        <v>75</v>
      </c>
      <c r="S10" s="26" t="s">
        <v>77</v>
      </c>
      <c r="T10" s="29" t="s">
        <v>32</v>
      </c>
    </row>
    <row r="11" spans="1:20">
      <c r="A11" s="22" t="s">
        <v>80</v>
      </c>
      <c r="B11" s="22" t="s">
        <v>81</v>
      </c>
      <c r="C11" s="23"/>
      <c r="D11" s="24"/>
      <c r="E11" s="22" t="s">
        <v>82</v>
      </c>
      <c r="F11" s="22" t="s">
        <v>83</v>
      </c>
      <c r="G11" s="22" t="s">
        <v>84</v>
      </c>
      <c r="H11" s="22" t="s">
        <v>85</v>
      </c>
      <c r="I11" s="22" t="s">
        <v>86</v>
      </c>
      <c r="J11" s="24"/>
      <c r="K11" s="24"/>
      <c r="L11" s="22" t="s">
        <v>87</v>
      </c>
      <c r="M11" s="24"/>
      <c r="N11" s="24"/>
      <c r="O11" s="22" t="s">
        <v>88</v>
      </c>
      <c r="P11" s="22" t="s">
        <v>89</v>
      </c>
      <c r="Q11" s="22" t="s">
        <v>90</v>
      </c>
      <c r="R11" s="22" t="s">
        <v>85</v>
      </c>
      <c r="S11" s="22" t="s">
        <v>87</v>
      </c>
      <c r="T11" s="25" t="s">
        <v>32</v>
      </c>
    </row>
    <row r="12" spans="1:20">
      <c r="A12" s="26" t="s">
        <v>91</v>
      </c>
      <c r="B12" s="26" t="s">
        <v>92</v>
      </c>
      <c r="C12" s="27"/>
      <c r="D12" s="28"/>
      <c r="E12" s="26" t="s">
        <v>93</v>
      </c>
      <c r="F12" s="26" t="s">
        <v>94</v>
      </c>
      <c r="G12" s="26" t="s">
        <v>95</v>
      </c>
      <c r="H12" s="26" t="s">
        <v>96</v>
      </c>
      <c r="I12" s="26"/>
      <c r="J12" s="28"/>
      <c r="K12" s="28"/>
      <c r="L12" s="26"/>
      <c r="M12" s="28"/>
      <c r="N12" s="28"/>
      <c r="O12" s="26" t="s">
        <v>97</v>
      </c>
      <c r="P12" s="26" t="s">
        <v>98</v>
      </c>
      <c r="Q12" s="26" t="s">
        <v>99</v>
      </c>
      <c r="R12" s="26" t="s">
        <v>96</v>
      </c>
      <c r="S12" s="26"/>
      <c r="T12" s="29" t="s">
        <v>32</v>
      </c>
    </row>
    <row r="13" spans="1:20">
      <c r="A13" s="22" t="s">
        <v>100</v>
      </c>
      <c r="B13" s="22" t="s">
        <v>101</v>
      </c>
      <c r="C13" s="23">
        <v>4.2</v>
      </c>
      <c r="D13" s="24">
        <v>13</v>
      </c>
      <c r="E13" s="22" t="s">
        <v>102</v>
      </c>
      <c r="F13" s="22" t="s">
        <v>103</v>
      </c>
      <c r="G13" s="22" t="s">
        <v>104</v>
      </c>
      <c r="H13" s="22" t="s">
        <v>105</v>
      </c>
      <c r="I13" s="22"/>
      <c r="J13" s="24"/>
      <c r="K13" s="24"/>
      <c r="L13" s="22"/>
      <c r="M13" s="24"/>
      <c r="N13" s="24"/>
      <c r="O13" s="22" t="s">
        <v>106</v>
      </c>
      <c r="P13" s="22" t="s">
        <v>107</v>
      </c>
      <c r="Q13" s="22" t="s">
        <v>108</v>
      </c>
      <c r="R13" s="22" t="s">
        <v>105</v>
      </c>
      <c r="S13" s="22"/>
      <c r="T13" s="25" t="s">
        <v>32</v>
      </c>
    </row>
    <row r="14" spans="1:20">
      <c r="A14" s="26" t="s">
        <v>109</v>
      </c>
      <c r="B14" s="26" t="s">
        <v>110</v>
      </c>
      <c r="C14" s="27">
        <v>4.9000000000000004</v>
      </c>
      <c r="D14" s="28">
        <v>53</v>
      </c>
      <c r="E14" s="26" t="s">
        <v>111</v>
      </c>
      <c r="F14" s="26" t="s">
        <v>112</v>
      </c>
      <c r="G14" s="26" t="s">
        <v>113</v>
      </c>
      <c r="H14" s="26" t="s">
        <v>114</v>
      </c>
      <c r="I14" s="26"/>
      <c r="J14" s="28"/>
      <c r="K14" s="28"/>
      <c r="L14" s="26"/>
      <c r="M14" s="28"/>
      <c r="N14" s="28"/>
      <c r="O14" s="26" t="s">
        <v>115</v>
      </c>
      <c r="P14" s="26" t="s">
        <v>116</v>
      </c>
      <c r="Q14" s="26" t="s">
        <v>117</v>
      </c>
      <c r="R14" s="26" t="s">
        <v>118</v>
      </c>
      <c r="S14" s="26"/>
      <c r="T14" s="29" t="s">
        <v>32</v>
      </c>
    </row>
    <row r="15" spans="1:20">
      <c r="A15" s="22" t="s">
        <v>119</v>
      </c>
      <c r="B15" s="22" t="s">
        <v>81</v>
      </c>
      <c r="C15" s="23">
        <v>5</v>
      </c>
      <c r="D15" s="24">
        <v>4</v>
      </c>
      <c r="E15" s="22" t="s">
        <v>82</v>
      </c>
      <c r="F15" s="22" t="s">
        <v>120</v>
      </c>
      <c r="G15" s="22" t="s">
        <v>121</v>
      </c>
      <c r="H15" s="22" t="s">
        <v>122</v>
      </c>
      <c r="I15" s="22"/>
      <c r="J15" s="24"/>
      <c r="K15" s="24"/>
      <c r="L15" s="22"/>
      <c r="M15" s="24"/>
      <c r="N15" s="24"/>
      <c r="O15" s="22" t="s">
        <v>123</v>
      </c>
      <c r="P15" s="22" t="s">
        <v>124</v>
      </c>
      <c r="Q15" s="22" t="s">
        <v>125</v>
      </c>
      <c r="R15" s="22" t="s">
        <v>122</v>
      </c>
      <c r="S15" s="22"/>
      <c r="T15" s="25" t="s">
        <v>32</v>
      </c>
    </row>
    <row r="16" spans="1:20">
      <c r="A16" s="26" t="s">
        <v>126</v>
      </c>
      <c r="B16" s="26" t="s">
        <v>23</v>
      </c>
      <c r="C16" s="27">
        <v>5</v>
      </c>
      <c r="D16" s="28">
        <v>14</v>
      </c>
      <c r="E16" s="26" t="s">
        <v>127</v>
      </c>
      <c r="F16" s="26" t="s">
        <v>128</v>
      </c>
      <c r="G16" s="26"/>
      <c r="H16" s="26"/>
      <c r="I16" s="26"/>
      <c r="J16" s="28"/>
      <c r="K16" s="28"/>
      <c r="L16" s="26"/>
      <c r="M16" s="28"/>
      <c r="N16" s="28"/>
      <c r="O16" s="26" t="s">
        <v>129</v>
      </c>
      <c r="P16" s="26" t="s">
        <v>130</v>
      </c>
      <c r="Q16" s="26" t="s">
        <v>131</v>
      </c>
      <c r="R16" s="26"/>
      <c r="S16" s="26"/>
      <c r="T16" s="29" t="s">
        <v>32</v>
      </c>
    </row>
    <row r="17" spans="1:20">
      <c r="A17" s="22" t="s">
        <v>132</v>
      </c>
      <c r="B17" s="22" t="s">
        <v>23</v>
      </c>
      <c r="C17" s="23">
        <v>4.8</v>
      </c>
      <c r="D17" s="24">
        <v>75</v>
      </c>
      <c r="E17" s="22" t="s">
        <v>133</v>
      </c>
      <c r="F17" s="22" t="s">
        <v>134</v>
      </c>
      <c r="G17" s="22" t="s">
        <v>135</v>
      </c>
      <c r="H17" s="22" t="s">
        <v>136</v>
      </c>
      <c r="I17" s="22"/>
      <c r="J17" s="24"/>
      <c r="K17" s="24"/>
      <c r="L17" s="22"/>
      <c r="M17" s="24"/>
      <c r="N17" s="24"/>
      <c r="O17" s="22" t="s">
        <v>137</v>
      </c>
      <c r="P17" s="22" t="s">
        <v>138</v>
      </c>
      <c r="Q17" s="22" t="s">
        <v>139</v>
      </c>
      <c r="R17" s="22" t="s">
        <v>136</v>
      </c>
      <c r="S17" s="22"/>
      <c r="T17" s="25" t="s">
        <v>32</v>
      </c>
    </row>
    <row r="18" spans="1:20">
      <c r="A18" s="26" t="s">
        <v>140</v>
      </c>
      <c r="B18" s="26" t="s">
        <v>141</v>
      </c>
      <c r="C18" s="27">
        <v>4.5999999999999996</v>
      </c>
      <c r="D18" s="28">
        <v>14</v>
      </c>
      <c r="E18" s="26" t="s">
        <v>142</v>
      </c>
      <c r="F18" s="26" t="s">
        <v>143</v>
      </c>
      <c r="G18" s="26" t="s">
        <v>144</v>
      </c>
      <c r="H18" s="26" t="s">
        <v>145</v>
      </c>
      <c r="I18" s="26"/>
      <c r="J18" s="28"/>
      <c r="K18" s="28"/>
      <c r="L18" s="26"/>
      <c r="M18" s="28"/>
      <c r="N18" s="28"/>
      <c r="O18" s="26" t="s">
        <v>146</v>
      </c>
      <c r="P18" s="26" t="s">
        <v>147</v>
      </c>
      <c r="Q18" s="26" t="s">
        <v>148</v>
      </c>
      <c r="R18" s="26" t="s">
        <v>145</v>
      </c>
      <c r="S18" s="26"/>
      <c r="T18" s="29" t="s">
        <v>32</v>
      </c>
    </row>
    <row r="19" spans="1:20">
      <c r="A19" s="22" t="s">
        <v>149</v>
      </c>
      <c r="B19" s="22" t="s">
        <v>150</v>
      </c>
      <c r="C19" s="23">
        <v>4.7</v>
      </c>
      <c r="D19" s="24">
        <v>13</v>
      </c>
      <c r="E19" s="22" t="s">
        <v>151</v>
      </c>
      <c r="F19" s="22" t="s">
        <v>152</v>
      </c>
      <c r="G19" s="22" t="s">
        <v>153</v>
      </c>
      <c r="H19" s="22" t="s">
        <v>154</v>
      </c>
      <c r="I19" s="22"/>
      <c r="J19" s="24"/>
      <c r="K19" s="24"/>
      <c r="L19" s="22"/>
      <c r="M19" s="24"/>
      <c r="N19" s="24"/>
      <c r="O19" s="22" t="s">
        <v>155</v>
      </c>
      <c r="P19" s="22" t="s">
        <v>156</v>
      </c>
      <c r="Q19" s="22" t="s">
        <v>157</v>
      </c>
      <c r="R19" s="22" t="s">
        <v>154</v>
      </c>
      <c r="S19" s="22"/>
      <c r="T19" s="25" t="s">
        <v>32</v>
      </c>
    </row>
    <row r="20" spans="1:20">
      <c r="A20" s="26" t="s">
        <v>158</v>
      </c>
      <c r="B20" s="26" t="s">
        <v>63</v>
      </c>
      <c r="C20" s="27">
        <v>4.7</v>
      </c>
      <c r="D20" s="28">
        <v>12</v>
      </c>
      <c r="E20" s="26" t="s">
        <v>159</v>
      </c>
      <c r="F20" s="26" t="s">
        <v>160</v>
      </c>
      <c r="G20" s="26"/>
      <c r="H20" s="26" t="s">
        <v>161</v>
      </c>
      <c r="I20" s="26"/>
      <c r="J20" s="28"/>
      <c r="K20" s="28"/>
      <c r="L20" s="26"/>
      <c r="M20" s="28"/>
      <c r="N20" s="28"/>
      <c r="O20" s="26" t="s">
        <v>162</v>
      </c>
      <c r="P20" s="26" t="s">
        <v>163</v>
      </c>
      <c r="Q20" s="26" t="s">
        <v>164</v>
      </c>
      <c r="R20" s="26" t="s">
        <v>161</v>
      </c>
      <c r="S20" s="26"/>
      <c r="T20" s="29" t="s">
        <v>32</v>
      </c>
    </row>
    <row r="21" spans="1:20">
      <c r="A21" s="22" t="s">
        <v>165</v>
      </c>
      <c r="B21" s="22" t="s">
        <v>166</v>
      </c>
      <c r="C21" s="23">
        <v>4.2</v>
      </c>
      <c r="D21" s="24">
        <v>5</v>
      </c>
      <c r="E21" s="22" t="s">
        <v>167</v>
      </c>
      <c r="F21" s="22" t="s">
        <v>168</v>
      </c>
      <c r="G21" s="22" t="s">
        <v>169</v>
      </c>
      <c r="H21" s="22" t="s">
        <v>170</v>
      </c>
      <c r="I21" s="22"/>
      <c r="J21" s="24"/>
      <c r="K21" s="24"/>
      <c r="L21" s="22"/>
      <c r="M21" s="24"/>
      <c r="N21" s="24"/>
      <c r="O21" s="22" t="s">
        <v>171</v>
      </c>
      <c r="P21" s="22" t="s">
        <v>172</v>
      </c>
      <c r="Q21" s="22" t="s">
        <v>173</v>
      </c>
      <c r="R21" s="22" t="s">
        <v>170</v>
      </c>
      <c r="S21" s="22"/>
      <c r="T21" s="25" t="s">
        <v>32</v>
      </c>
    </row>
    <row r="22" spans="1:20">
      <c r="A22" s="26" t="s">
        <v>174</v>
      </c>
      <c r="B22" s="26" t="s">
        <v>175</v>
      </c>
      <c r="C22" s="27">
        <v>5</v>
      </c>
      <c r="D22" s="28">
        <v>1</v>
      </c>
      <c r="E22" s="26" t="s">
        <v>176</v>
      </c>
      <c r="F22" s="26" t="s">
        <v>177</v>
      </c>
      <c r="G22" s="26" t="s">
        <v>178</v>
      </c>
      <c r="H22" s="26" t="s">
        <v>179</v>
      </c>
      <c r="I22" s="26"/>
      <c r="J22" s="28"/>
      <c r="K22" s="28"/>
      <c r="L22" s="26"/>
      <c r="M22" s="28"/>
      <c r="N22" s="28"/>
      <c r="O22" s="26" t="s">
        <v>180</v>
      </c>
      <c r="P22" s="26" t="s">
        <v>181</v>
      </c>
      <c r="Q22" s="26" t="s">
        <v>182</v>
      </c>
      <c r="R22" s="26" t="s">
        <v>179</v>
      </c>
      <c r="S22" s="26"/>
      <c r="T22" s="29" t="s">
        <v>32</v>
      </c>
    </row>
    <row r="23" spans="1:20">
      <c r="A23" s="22" t="s">
        <v>183</v>
      </c>
      <c r="B23" s="22" t="s">
        <v>63</v>
      </c>
      <c r="C23" s="23">
        <v>5</v>
      </c>
      <c r="D23" s="24">
        <v>1</v>
      </c>
      <c r="E23" s="22" t="s">
        <v>184</v>
      </c>
      <c r="F23" s="22" t="s">
        <v>185</v>
      </c>
      <c r="G23" s="22" t="s">
        <v>186</v>
      </c>
      <c r="H23" s="22" t="s">
        <v>187</v>
      </c>
      <c r="I23" s="22"/>
      <c r="J23" s="24"/>
      <c r="K23" s="24"/>
      <c r="L23" s="22"/>
      <c r="M23" s="24"/>
      <c r="N23" s="24"/>
      <c r="O23" s="22" t="s">
        <v>188</v>
      </c>
      <c r="P23" s="22" t="s">
        <v>189</v>
      </c>
      <c r="Q23" s="22" t="s">
        <v>190</v>
      </c>
      <c r="R23" s="22" t="s">
        <v>187</v>
      </c>
      <c r="S23" s="22"/>
      <c r="T23" s="25" t="s">
        <v>32</v>
      </c>
    </row>
    <row r="24" spans="1:20">
      <c r="A24" s="26" t="s">
        <v>191</v>
      </c>
      <c r="B24" s="26" t="s">
        <v>141</v>
      </c>
      <c r="C24" s="27">
        <v>4.7</v>
      </c>
      <c r="D24" s="28">
        <v>78</v>
      </c>
      <c r="E24" s="26" t="s">
        <v>192</v>
      </c>
      <c r="F24" s="26" t="s">
        <v>193</v>
      </c>
      <c r="G24" s="26"/>
      <c r="H24" s="26" t="s">
        <v>194</v>
      </c>
      <c r="I24" s="26" t="s">
        <v>195</v>
      </c>
      <c r="J24" s="28"/>
      <c r="K24" s="28"/>
      <c r="L24" s="26"/>
      <c r="M24" s="28"/>
      <c r="N24" s="28"/>
      <c r="O24" s="26" t="s">
        <v>196</v>
      </c>
      <c r="P24" s="26" t="s">
        <v>197</v>
      </c>
      <c r="Q24" s="26" t="s">
        <v>198</v>
      </c>
      <c r="R24" s="26" t="s">
        <v>194</v>
      </c>
      <c r="S24" s="26" t="s">
        <v>195</v>
      </c>
      <c r="T24" s="29" t="s">
        <v>32</v>
      </c>
    </row>
    <row r="25" spans="1:20">
      <c r="A25" s="22" t="s">
        <v>199</v>
      </c>
      <c r="B25" s="22" t="s">
        <v>175</v>
      </c>
      <c r="C25" s="23">
        <v>5</v>
      </c>
      <c r="D25" s="24">
        <v>43</v>
      </c>
      <c r="E25" s="22" t="s">
        <v>200</v>
      </c>
      <c r="F25" s="22" t="s">
        <v>201</v>
      </c>
      <c r="G25" s="22"/>
      <c r="H25" s="22" t="s">
        <v>202</v>
      </c>
      <c r="I25" s="22" t="s">
        <v>203</v>
      </c>
      <c r="J25" s="24"/>
      <c r="K25" s="24"/>
      <c r="L25" s="22"/>
      <c r="M25" s="24"/>
      <c r="N25" s="24"/>
      <c r="O25" s="22" t="s">
        <v>204</v>
      </c>
      <c r="P25" s="22" t="s">
        <v>205</v>
      </c>
      <c r="Q25" s="22" t="s">
        <v>206</v>
      </c>
      <c r="R25" s="22" t="s">
        <v>202</v>
      </c>
      <c r="S25" s="22" t="s">
        <v>203</v>
      </c>
      <c r="T25" s="25" t="s">
        <v>32</v>
      </c>
    </row>
    <row r="26" spans="1:20">
      <c r="A26" s="26" t="s">
        <v>207</v>
      </c>
      <c r="B26" s="26" t="s">
        <v>141</v>
      </c>
      <c r="C26" s="27">
        <v>4.5</v>
      </c>
      <c r="D26" s="28">
        <v>111</v>
      </c>
      <c r="E26" s="26" t="s">
        <v>208</v>
      </c>
      <c r="F26" s="26" t="s">
        <v>209</v>
      </c>
      <c r="G26" s="26"/>
      <c r="H26" s="26" t="s">
        <v>210</v>
      </c>
      <c r="I26" s="26"/>
      <c r="J26" s="28"/>
      <c r="K26" s="28"/>
      <c r="L26" s="26"/>
      <c r="M26" s="28"/>
      <c r="N26" s="28"/>
      <c r="O26" s="26" t="s">
        <v>211</v>
      </c>
      <c r="P26" s="26" t="s">
        <v>212</v>
      </c>
      <c r="Q26" s="26" t="s">
        <v>213</v>
      </c>
      <c r="R26" s="26" t="s">
        <v>210</v>
      </c>
      <c r="S26" s="26"/>
      <c r="T26" s="29" t="s">
        <v>32</v>
      </c>
    </row>
    <row r="27" spans="1:20">
      <c r="A27" s="22" t="s">
        <v>214</v>
      </c>
      <c r="B27" s="22" t="s">
        <v>215</v>
      </c>
      <c r="C27" s="23">
        <v>4.9000000000000004</v>
      </c>
      <c r="D27" s="24">
        <v>77</v>
      </c>
      <c r="E27" s="22" t="s">
        <v>216</v>
      </c>
      <c r="F27" s="22" t="s">
        <v>217</v>
      </c>
      <c r="G27" s="22" t="s">
        <v>218</v>
      </c>
      <c r="H27" s="22" t="s">
        <v>219</v>
      </c>
      <c r="I27" s="22"/>
      <c r="J27" s="24"/>
      <c r="K27" s="24"/>
      <c r="L27" s="22"/>
      <c r="M27" s="24"/>
      <c r="N27" s="24"/>
      <c r="O27" s="22" t="s">
        <v>220</v>
      </c>
      <c r="P27" s="22" t="s">
        <v>221</v>
      </c>
      <c r="Q27" s="22" t="s">
        <v>222</v>
      </c>
      <c r="R27" s="22" t="s">
        <v>219</v>
      </c>
      <c r="S27" s="22"/>
      <c r="T27" s="25" t="s">
        <v>32</v>
      </c>
    </row>
    <row r="28" spans="1:20">
      <c r="A28" s="26" t="s">
        <v>223</v>
      </c>
      <c r="B28" s="26" t="s">
        <v>166</v>
      </c>
      <c r="C28" s="27">
        <v>5</v>
      </c>
      <c r="D28" s="28">
        <v>2</v>
      </c>
      <c r="E28" s="26" t="s">
        <v>224</v>
      </c>
      <c r="F28" s="26" t="s">
        <v>225</v>
      </c>
      <c r="G28" s="26"/>
      <c r="H28" s="26" t="s">
        <v>226</v>
      </c>
      <c r="I28" s="26"/>
      <c r="J28" s="28"/>
      <c r="K28" s="28"/>
      <c r="L28" s="26"/>
      <c r="M28" s="28"/>
      <c r="N28" s="28"/>
      <c r="O28" s="26" t="s">
        <v>227</v>
      </c>
      <c r="P28" s="26" t="s">
        <v>228</v>
      </c>
      <c r="Q28" s="26" t="s">
        <v>229</v>
      </c>
      <c r="R28" s="26" t="s">
        <v>226</v>
      </c>
      <c r="S28" s="26"/>
      <c r="T28" s="29" t="s">
        <v>32</v>
      </c>
    </row>
    <row r="29" spans="1:20">
      <c r="A29" s="22" t="s">
        <v>230</v>
      </c>
      <c r="B29" s="22" t="s">
        <v>231</v>
      </c>
      <c r="C29" s="23">
        <v>4.4000000000000004</v>
      </c>
      <c r="D29" s="24">
        <v>14</v>
      </c>
      <c r="E29" s="22" t="s">
        <v>232</v>
      </c>
      <c r="F29" s="22" t="s">
        <v>233</v>
      </c>
      <c r="G29" s="22" t="s">
        <v>234</v>
      </c>
      <c r="H29" s="22" t="s">
        <v>235</v>
      </c>
      <c r="I29" s="22"/>
      <c r="J29" s="24"/>
      <c r="K29" s="24"/>
      <c r="L29" s="22"/>
      <c r="M29" s="24"/>
      <c r="N29" s="24"/>
      <c r="O29" s="22" t="s">
        <v>236</v>
      </c>
      <c r="P29" s="22" t="s">
        <v>237</v>
      </c>
      <c r="Q29" s="22" t="s">
        <v>238</v>
      </c>
      <c r="R29" s="22" t="s">
        <v>235</v>
      </c>
      <c r="S29" s="22"/>
      <c r="T29" s="25" t="s">
        <v>32</v>
      </c>
    </row>
    <row r="30" spans="1:20">
      <c r="A30" s="26" t="s">
        <v>239</v>
      </c>
      <c r="B30" s="26" t="s">
        <v>240</v>
      </c>
      <c r="C30" s="27">
        <v>4.9000000000000004</v>
      </c>
      <c r="D30" s="28">
        <v>108</v>
      </c>
      <c r="E30" s="26" t="s">
        <v>241</v>
      </c>
      <c r="F30" s="26" t="s">
        <v>242</v>
      </c>
      <c r="G30" s="26" t="s">
        <v>243</v>
      </c>
      <c r="H30" s="26" t="s">
        <v>244</v>
      </c>
      <c r="I30" s="26"/>
      <c r="J30" s="28"/>
      <c r="K30" s="28"/>
      <c r="L30" s="26"/>
      <c r="M30" s="28"/>
      <c r="N30" s="28"/>
      <c r="O30" s="26" t="s">
        <v>245</v>
      </c>
      <c r="P30" s="26" t="s">
        <v>246</v>
      </c>
      <c r="Q30" s="26" t="s">
        <v>247</v>
      </c>
      <c r="R30" s="26" t="s">
        <v>244</v>
      </c>
      <c r="S30" s="26"/>
      <c r="T30" s="29" t="s">
        <v>32</v>
      </c>
    </row>
    <row r="31" spans="1:20">
      <c r="A31" s="22" t="s">
        <v>248</v>
      </c>
      <c r="B31" s="22" t="s">
        <v>249</v>
      </c>
      <c r="C31" s="23">
        <v>4.5999999999999996</v>
      </c>
      <c r="D31" s="24">
        <v>10</v>
      </c>
      <c r="E31" s="22" t="s">
        <v>250</v>
      </c>
      <c r="F31" s="22" t="s">
        <v>251</v>
      </c>
      <c r="G31" s="22" t="s">
        <v>252</v>
      </c>
      <c r="H31" s="22" t="s">
        <v>253</v>
      </c>
      <c r="I31" s="22"/>
      <c r="J31" s="24"/>
      <c r="K31" s="24"/>
      <c r="L31" s="22"/>
      <c r="M31" s="24"/>
      <c r="N31" s="24"/>
      <c r="O31" s="22" t="s">
        <v>254</v>
      </c>
      <c r="P31" s="22" t="s">
        <v>255</v>
      </c>
      <c r="Q31" s="22" t="s">
        <v>256</v>
      </c>
      <c r="R31" s="22" t="s">
        <v>253</v>
      </c>
      <c r="S31" s="22"/>
      <c r="T31" s="25" t="s">
        <v>32</v>
      </c>
    </row>
    <row r="32" spans="1:20">
      <c r="A32" s="26" t="s">
        <v>257</v>
      </c>
      <c r="B32" s="26" t="s">
        <v>258</v>
      </c>
      <c r="C32" s="27">
        <v>4.8</v>
      </c>
      <c r="D32" s="28">
        <v>59</v>
      </c>
      <c r="E32" s="26" t="s">
        <v>259</v>
      </c>
      <c r="F32" s="26" t="s">
        <v>260</v>
      </c>
      <c r="G32" s="26"/>
      <c r="H32" s="26" t="s">
        <v>261</v>
      </c>
      <c r="I32" s="26"/>
      <c r="J32" s="28"/>
      <c r="K32" s="28"/>
      <c r="L32" s="26"/>
      <c r="M32" s="28"/>
      <c r="N32" s="28"/>
      <c r="O32" s="26" t="s">
        <v>262</v>
      </c>
      <c r="P32" s="26" t="s">
        <v>263</v>
      </c>
      <c r="Q32" s="26" t="s">
        <v>264</v>
      </c>
      <c r="R32" s="26" t="s">
        <v>261</v>
      </c>
      <c r="S32" s="26"/>
      <c r="T32" s="29" t="s">
        <v>32</v>
      </c>
    </row>
    <row r="33" spans="1:20">
      <c r="A33" s="22" t="s">
        <v>265</v>
      </c>
      <c r="B33" s="22" t="s">
        <v>63</v>
      </c>
      <c r="C33" s="23">
        <v>4.2</v>
      </c>
      <c r="D33" s="24">
        <v>18</v>
      </c>
      <c r="E33" s="22" t="s">
        <v>266</v>
      </c>
      <c r="F33" s="22" t="s">
        <v>267</v>
      </c>
      <c r="G33" s="22"/>
      <c r="H33" s="22"/>
      <c r="I33" s="22"/>
      <c r="J33" s="24"/>
      <c r="K33" s="24"/>
      <c r="L33" s="22"/>
      <c r="M33" s="24"/>
      <c r="N33" s="24"/>
      <c r="O33" s="22" t="s">
        <v>268</v>
      </c>
      <c r="P33" s="22" t="s">
        <v>269</v>
      </c>
      <c r="Q33" s="22" t="s">
        <v>270</v>
      </c>
      <c r="R33" s="22"/>
      <c r="S33" s="22"/>
      <c r="T33" s="25" t="s">
        <v>32</v>
      </c>
    </row>
    <row r="34" spans="1:20">
      <c r="A34" s="26" t="s">
        <v>271</v>
      </c>
      <c r="B34" s="26" t="s">
        <v>272</v>
      </c>
      <c r="C34" s="27">
        <v>5</v>
      </c>
      <c r="D34" s="28">
        <v>2</v>
      </c>
      <c r="E34" s="26" t="s">
        <v>273</v>
      </c>
      <c r="F34" s="26" t="s">
        <v>274</v>
      </c>
      <c r="G34" s="26"/>
      <c r="H34" s="26"/>
      <c r="I34" s="26"/>
      <c r="J34" s="28"/>
      <c r="K34" s="28"/>
      <c r="L34" s="26"/>
      <c r="M34" s="28"/>
      <c r="N34" s="28"/>
      <c r="O34" s="26" t="s">
        <v>275</v>
      </c>
      <c r="P34" s="26" t="s">
        <v>276</v>
      </c>
      <c r="Q34" s="26" t="s">
        <v>277</v>
      </c>
      <c r="R34" s="26"/>
      <c r="S34" s="26"/>
      <c r="T34" s="29" t="s">
        <v>32</v>
      </c>
    </row>
    <row r="35" spans="1:20">
      <c r="A35" s="22" t="s">
        <v>278</v>
      </c>
      <c r="B35" s="22" t="s">
        <v>279</v>
      </c>
      <c r="C35" s="23"/>
      <c r="D35" s="24"/>
      <c r="E35" s="22" t="s">
        <v>82</v>
      </c>
      <c r="F35" s="22" t="s">
        <v>280</v>
      </c>
      <c r="G35" s="22" t="s">
        <v>281</v>
      </c>
      <c r="H35" s="22" t="s">
        <v>282</v>
      </c>
      <c r="I35" s="22"/>
      <c r="J35" s="24"/>
      <c r="K35" s="24"/>
      <c r="L35" s="22"/>
      <c r="M35" s="24"/>
      <c r="N35" s="24"/>
      <c r="O35" s="22" t="s">
        <v>283</v>
      </c>
      <c r="P35" s="22" t="s">
        <v>284</v>
      </c>
      <c r="Q35" s="22" t="s">
        <v>285</v>
      </c>
      <c r="R35" s="22" t="s">
        <v>282</v>
      </c>
      <c r="S35" s="22"/>
      <c r="T35" s="25" t="s">
        <v>32</v>
      </c>
    </row>
    <row r="36" spans="1:20">
      <c r="A36" s="26" t="s">
        <v>286</v>
      </c>
      <c r="B36" s="26" t="s">
        <v>23</v>
      </c>
      <c r="C36" s="27">
        <v>4.8</v>
      </c>
      <c r="D36" s="28">
        <v>9</v>
      </c>
      <c r="E36" s="26" t="s">
        <v>287</v>
      </c>
      <c r="F36" s="26" t="s">
        <v>288</v>
      </c>
      <c r="G36" s="26" t="s">
        <v>289</v>
      </c>
      <c r="H36" s="26" t="s">
        <v>290</v>
      </c>
      <c r="I36" s="26"/>
      <c r="J36" s="28"/>
      <c r="K36" s="28"/>
      <c r="L36" s="26"/>
      <c r="M36" s="28"/>
      <c r="N36" s="28"/>
      <c r="O36" s="26" t="s">
        <v>291</v>
      </c>
      <c r="P36" s="26" t="s">
        <v>292</v>
      </c>
      <c r="Q36" s="26" t="s">
        <v>293</v>
      </c>
      <c r="R36" s="26" t="s">
        <v>290</v>
      </c>
      <c r="S36" s="26"/>
      <c r="T36" s="29" t="s">
        <v>32</v>
      </c>
    </row>
    <row r="37" spans="1:20">
      <c r="A37" s="22" t="s">
        <v>294</v>
      </c>
      <c r="B37" s="22" t="s">
        <v>215</v>
      </c>
      <c r="C37" s="23">
        <v>4.8</v>
      </c>
      <c r="D37" s="24">
        <v>16</v>
      </c>
      <c r="E37" s="22" t="s">
        <v>295</v>
      </c>
      <c r="F37" s="22" t="s">
        <v>296</v>
      </c>
      <c r="G37" s="22" t="s">
        <v>297</v>
      </c>
      <c r="H37" s="22" t="s">
        <v>298</v>
      </c>
      <c r="I37" s="22"/>
      <c r="J37" s="24"/>
      <c r="K37" s="24"/>
      <c r="L37" s="22"/>
      <c r="M37" s="24"/>
      <c r="N37" s="24"/>
      <c r="O37" s="22" t="s">
        <v>299</v>
      </c>
      <c r="P37" s="22" t="s">
        <v>300</v>
      </c>
      <c r="Q37" s="22" t="s">
        <v>301</v>
      </c>
      <c r="R37" s="22" t="s">
        <v>298</v>
      </c>
      <c r="S37" s="22"/>
      <c r="T37" s="25" t="s">
        <v>32</v>
      </c>
    </row>
    <row r="38" spans="1:20">
      <c r="A38" s="26" t="s">
        <v>302</v>
      </c>
      <c r="B38" s="26" t="s">
        <v>23</v>
      </c>
      <c r="C38" s="27">
        <v>4.9000000000000004</v>
      </c>
      <c r="D38" s="28">
        <v>38</v>
      </c>
      <c r="E38" s="26" t="s">
        <v>303</v>
      </c>
      <c r="F38" s="26" t="s">
        <v>304</v>
      </c>
      <c r="G38" s="26" t="s">
        <v>305</v>
      </c>
      <c r="H38" s="26" t="s">
        <v>306</v>
      </c>
      <c r="I38" s="26"/>
      <c r="J38" s="28"/>
      <c r="K38" s="28"/>
      <c r="L38" s="26"/>
      <c r="M38" s="28"/>
      <c r="N38" s="28"/>
      <c r="O38" s="26" t="s">
        <v>307</v>
      </c>
      <c r="P38" s="26" t="s">
        <v>308</v>
      </c>
      <c r="Q38" s="26" t="s">
        <v>309</v>
      </c>
      <c r="R38" s="26" t="s">
        <v>306</v>
      </c>
      <c r="S38" s="26"/>
      <c r="T38" s="29" t="s">
        <v>32</v>
      </c>
    </row>
    <row r="39" spans="1:20">
      <c r="A39" s="22" t="s">
        <v>310</v>
      </c>
      <c r="B39" s="22" t="s">
        <v>175</v>
      </c>
      <c r="C39" s="23">
        <v>5</v>
      </c>
      <c r="D39" s="24">
        <v>22</v>
      </c>
      <c r="E39" s="22" t="s">
        <v>311</v>
      </c>
      <c r="F39" s="22" t="s">
        <v>312</v>
      </c>
      <c r="G39" s="22" t="s">
        <v>313</v>
      </c>
      <c r="H39" s="22" t="s">
        <v>314</v>
      </c>
      <c r="I39" s="22" t="s">
        <v>315</v>
      </c>
      <c r="J39" s="24"/>
      <c r="K39" s="24"/>
      <c r="L39" s="22"/>
      <c r="M39" s="24"/>
      <c r="N39" s="24"/>
      <c r="O39" s="22" t="s">
        <v>316</v>
      </c>
      <c r="P39" s="22" t="s">
        <v>30</v>
      </c>
      <c r="Q39" s="22" t="s">
        <v>317</v>
      </c>
      <c r="R39" s="22" t="s">
        <v>314</v>
      </c>
      <c r="S39" s="22" t="s">
        <v>315</v>
      </c>
      <c r="T39" s="25" t="s">
        <v>32</v>
      </c>
    </row>
    <row r="40" spans="1:20">
      <c r="A40" s="26" t="s">
        <v>318</v>
      </c>
      <c r="B40" s="26" t="s">
        <v>319</v>
      </c>
      <c r="C40" s="27">
        <v>5</v>
      </c>
      <c r="D40" s="28">
        <v>20</v>
      </c>
      <c r="E40" s="26" t="s">
        <v>320</v>
      </c>
      <c r="F40" s="26" t="s">
        <v>321</v>
      </c>
      <c r="G40" s="26" t="s">
        <v>322</v>
      </c>
      <c r="H40" s="26" t="s">
        <v>323</v>
      </c>
      <c r="I40" s="26"/>
      <c r="J40" s="28"/>
      <c r="K40" s="28"/>
      <c r="L40" s="26"/>
      <c r="M40" s="28"/>
      <c r="N40" s="28"/>
      <c r="O40" s="26" t="s">
        <v>324</v>
      </c>
      <c r="P40" s="26" t="s">
        <v>325</v>
      </c>
      <c r="Q40" s="26" t="s">
        <v>326</v>
      </c>
      <c r="R40" s="26" t="s">
        <v>323</v>
      </c>
      <c r="S40" s="26"/>
      <c r="T40" s="29" t="s">
        <v>32</v>
      </c>
    </row>
    <row r="41" spans="1:20">
      <c r="A41" s="22" t="s">
        <v>327</v>
      </c>
      <c r="B41" s="22" t="s">
        <v>328</v>
      </c>
      <c r="C41" s="23"/>
      <c r="D41" s="24"/>
      <c r="E41" s="22" t="s">
        <v>329</v>
      </c>
      <c r="F41" s="22" t="s">
        <v>330</v>
      </c>
      <c r="G41" s="22"/>
      <c r="H41" s="22"/>
      <c r="I41" s="22"/>
      <c r="J41" s="24"/>
      <c r="K41" s="24"/>
      <c r="L41" s="22"/>
      <c r="M41" s="24"/>
      <c r="N41" s="24"/>
      <c r="O41" s="22" t="s">
        <v>331</v>
      </c>
      <c r="P41" s="22" t="s">
        <v>332</v>
      </c>
      <c r="Q41" s="22" t="s">
        <v>333</v>
      </c>
      <c r="R41" s="22"/>
      <c r="S41" s="22"/>
      <c r="T41" s="25" t="s">
        <v>32</v>
      </c>
    </row>
    <row r="42" spans="1:20">
      <c r="A42" s="26" t="s">
        <v>334</v>
      </c>
      <c r="B42" s="26" t="s">
        <v>335</v>
      </c>
      <c r="C42" s="27">
        <v>5</v>
      </c>
      <c r="D42" s="28">
        <v>11</v>
      </c>
      <c r="E42" s="26" t="s">
        <v>336</v>
      </c>
      <c r="F42" s="26" t="s">
        <v>337</v>
      </c>
      <c r="G42" s="26" t="s">
        <v>338</v>
      </c>
      <c r="H42" s="26" t="s">
        <v>339</v>
      </c>
      <c r="I42" s="26"/>
      <c r="J42" s="28"/>
      <c r="K42" s="28"/>
      <c r="L42" s="26"/>
      <c r="M42" s="28"/>
      <c r="N42" s="28"/>
      <c r="O42" s="26" t="s">
        <v>340</v>
      </c>
      <c r="P42" s="26" t="s">
        <v>30</v>
      </c>
      <c r="Q42" s="26" t="s">
        <v>341</v>
      </c>
      <c r="R42" s="26" t="s">
        <v>339</v>
      </c>
      <c r="S42" s="26"/>
      <c r="T42" s="29" t="s">
        <v>32</v>
      </c>
    </row>
    <row r="43" spans="1:20">
      <c r="A43" s="22" t="s">
        <v>342</v>
      </c>
      <c r="B43" s="22" t="s">
        <v>343</v>
      </c>
      <c r="C43" s="23">
        <v>4.3</v>
      </c>
      <c r="D43" s="24">
        <v>16</v>
      </c>
      <c r="E43" s="22" t="s">
        <v>344</v>
      </c>
      <c r="F43" s="22" t="s">
        <v>345</v>
      </c>
      <c r="G43" s="22"/>
      <c r="H43" s="22" t="s">
        <v>346</v>
      </c>
      <c r="I43" s="22"/>
      <c r="J43" s="24"/>
      <c r="K43" s="24"/>
      <c r="L43" s="22"/>
      <c r="M43" s="24"/>
      <c r="N43" s="24"/>
      <c r="O43" s="22" t="s">
        <v>347</v>
      </c>
      <c r="P43" s="22" t="s">
        <v>348</v>
      </c>
      <c r="Q43" s="22" t="s">
        <v>349</v>
      </c>
      <c r="R43" s="22" t="s">
        <v>346</v>
      </c>
      <c r="S43" s="22"/>
      <c r="T43" s="25" t="s">
        <v>32</v>
      </c>
    </row>
    <row r="44" spans="1:20">
      <c r="A44" s="30" t="s">
        <v>350</v>
      </c>
      <c r="B44" s="30" t="s">
        <v>63</v>
      </c>
      <c r="C44" s="31">
        <v>3.9</v>
      </c>
      <c r="D44" s="32">
        <v>21</v>
      </c>
      <c r="E44" s="30" t="s">
        <v>351</v>
      </c>
      <c r="F44" s="30" t="s">
        <v>352</v>
      </c>
      <c r="G44" s="30"/>
      <c r="H44" s="30"/>
      <c r="I44" s="30"/>
      <c r="J44" s="32"/>
      <c r="K44" s="32"/>
      <c r="L44" s="30"/>
      <c r="M44" s="32"/>
      <c r="N44" s="32"/>
      <c r="O44" s="30" t="s">
        <v>353</v>
      </c>
      <c r="P44" s="30" t="s">
        <v>354</v>
      </c>
      <c r="Q44" s="30" t="s">
        <v>355</v>
      </c>
      <c r="R44" s="30"/>
      <c r="S44" s="30"/>
      <c r="T44" s="33" t="s">
        <v>32</v>
      </c>
    </row>
  </sheetData>
  <mergeCells count="2">
    <mergeCell ref="A1:T1"/>
    <mergeCell ref="A2:T2"/>
  </mergeCells>
  <conditionalFormatting sqref="C5:C44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D5:D44">
    <cfRule type="dataBar" priority="2">
      <dataBar>
        <cfvo type="min"/>
        <cfvo type="max"/>
        <color rgb="FF16777D"/>
      </dataBar>
    </cfRule>
    <cfRule type="dataBar" priority="3">
      <dataBar>
        <cfvo type="min"/>
        <cfvo type="max"/>
        <color rgb="FF16777D"/>
      </dataBar>
      <extLst>
        <ext xmlns:x14="http://schemas.microsoft.com/office/spreadsheetml/2009/9/main" uri="{B025F937-C7B1-47D3-B67F-A62EFF666E3E}">
          <x14:id>{A56AF8D8-B323-8891-8F23-45D5AA09D8F2}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6AF8D8-B323-8891-8F23-45D5AA09D8F2}">
            <x14:dataBar>
              <x14:cfvo type="min"/>
              <x14:cfvo type="max"/>
              <x14:negativeFillColor auto="1"/>
              <x14:axisColor auto="1"/>
            </x14:dataBar>
          </x14:cfRule>
          <xm:sqref>D5:D44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/>
  </sheetViews>
  <sheetFormatPr defaultRowHeight="14.25"/>
  <cols>
    <col min="1" max="1" width="24" customWidth="1"/>
    <col min="2" max="2" width="48" customWidth="1"/>
    <col min="4" max="4" width="34" customWidth="1"/>
    <col min="5" max="5" width="16" customWidth="1"/>
    <col min="6" max="14" width="13" customWidth="1"/>
  </cols>
  <sheetData>
    <row r="1" spans="1:8" ht="30" customHeight="1">
      <c r="A1" s="19" t="s">
        <v>356</v>
      </c>
      <c r="B1" s="19"/>
      <c r="C1" s="19"/>
      <c r="D1" s="19"/>
      <c r="E1" s="19"/>
      <c r="F1" s="19"/>
      <c r="G1" s="19"/>
      <c r="H1" s="19"/>
    </row>
    <row r="2" spans="1:8" ht="30" customHeight="1">
      <c r="A2" s="21" t="s">
        <v>357</v>
      </c>
      <c r="B2" s="21"/>
      <c r="C2" s="21"/>
      <c r="D2" s="21"/>
      <c r="E2" s="21"/>
      <c r="F2" s="21"/>
      <c r="G2" s="21"/>
      <c r="H2" s="21"/>
    </row>
    <row r="4" spans="1:8" ht="15">
      <c r="A4" s="4" t="s">
        <v>358</v>
      </c>
      <c r="B4" s="8" t="s">
        <v>359</v>
      </c>
      <c r="D4" s="4" t="s">
        <v>360</v>
      </c>
      <c r="E4" s="8" t="s">
        <v>361</v>
      </c>
    </row>
    <row r="5" spans="1:8" ht="15">
      <c r="A5" s="5" t="s">
        <v>362</v>
      </c>
      <c r="B5" s="9">
        <f>COUNTA(Competitors!A5:A44)</f>
        <v>40</v>
      </c>
      <c r="D5" s="2" t="s">
        <v>43</v>
      </c>
      <c r="E5" s="13">
        <v>457</v>
      </c>
    </row>
    <row r="6" spans="1:8" ht="15">
      <c r="A6" s="5" t="s">
        <v>363</v>
      </c>
      <c r="B6" s="9">
        <f>COUNT(Competitors!C5:C44)</f>
        <v>36</v>
      </c>
      <c r="D6" s="2" t="s">
        <v>33</v>
      </c>
      <c r="E6" s="13">
        <v>123</v>
      </c>
    </row>
    <row r="7" spans="1:8" ht="15">
      <c r="A7" s="5" t="s">
        <v>364</v>
      </c>
      <c r="B7" s="9">
        <f>COUNTIF(Competitors!H5:H44,"&lt;&gt;")</f>
        <v>35</v>
      </c>
      <c r="D7" s="2" t="s">
        <v>207</v>
      </c>
      <c r="E7" s="13">
        <v>111</v>
      </c>
    </row>
    <row r="8" spans="1:8" ht="15">
      <c r="A8" s="5" t="s">
        <v>365</v>
      </c>
      <c r="B8" s="9">
        <f>COUNTIF(Competitors!G5:G44,"&lt;&gt;")</f>
        <v>27</v>
      </c>
      <c r="D8" s="2" t="s">
        <v>239</v>
      </c>
      <c r="E8" s="13">
        <v>108</v>
      </c>
    </row>
    <row r="9" spans="1:8" ht="15">
      <c r="A9" s="5" t="s">
        <v>366</v>
      </c>
      <c r="B9" s="9">
        <f>COUNTIF(Competitors!I5:I44,"&lt;&gt;")</f>
        <v>8</v>
      </c>
      <c r="D9" s="2" t="s">
        <v>22</v>
      </c>
      <c r="E9" s="13">
        <v>106</v>
      </c>
    </row>
    <row r="10" spans="1:8" ht="15">
      <c r="A10" s="5" t="s">
        <v>367</v>
      </c>
      <c r="B10" s="9">
        <f>COUNTIF(Competitors!L5:L44,"&lt;&gt;")</f>
        <v>3</v>
      </c>
      <c r="D10" s="2" t="s">
        <v>62</v>
      </c>
      <c r="E10" s="13">
        <v>80</v>
      </c>
    </row>
    <row r="11" spans="1:8" ht="15">
      <c r="A11" s="5" t="s">
        <v>368</v>
      </c>
      <c r="B11" s="10">
        <f>AVERAGE(Competitors!C5:C44)</f>
        <v>4.7166666666666686</v>
      </c>
      <c r="D11" s="2" t="s">
        <v>191</v>
      </c>
      <c r="E11" s="13">
        <v>78</v>
      </c>
    </row>
    <row r="12" spans="1:8" ht="15">
      <c r="A12" s="11" t="s">
        <v>369</v>
      </c>
      <c r="B12" s="12">
        <f>SUM(Competitors!D5:D44)</f>
        <v>1680</v>
      </c>
      <c r="D12" s="2" t="s">
        <v>214</v>
      </c>
      <c r="E12" s="13">
        <v>77</v>
      </c>
    </row>
    <row r="13" spans="1:8">
      <c r="D13" s="2" t="s">
        <v>132</v>
      </c>
      <c r="E13" s="13">
        <v>75</v>
      </c>
    </row>
    <row r="14" spans="1:8" ht="15">
      <c r="A14" s="6" t="s">
        <v>370</v>
      </c>
      <c r="B14" s="15"/>
      <c r="D14" s="14" t="s">
        <v>257</v>
      </c>
      <c r="E14" s="12">
        <v>59</v>
      </c>
    </row>
    <row r="15" spans="1:8" ht="29.25">
      <c r="A15" s="7" t="s">
        <v>371</v>
      </c>
      <c r="B15" s="16" t="s">
        <v>372</v>
      </c>
    </row>
    <row r="16" spans="1:8" ht="29.25">
      <c r="A16" s="7" t="s">
        <v>373</v>
      </c>
      <c r="B16" s="16" t="s">
        <v>374</v>
      </c>
    </row>
    <row r="17" spans="1:2" ht="29.25">
      <c r="A17" s="17" t="s">
        <v>375</v>
      </c>
      <c r="B17" s="18" t="s">
        <v>376</v>
      </c>
    </row>
  </sheetData>
  <mergeCells count="2">
    <mergeCell ref="A1:H1"/>
    <mergeCell ref="A2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Competitors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Royal Glass</cp:lastModifiedBy>
  <dcterms:modified xsi:type="dcterms:W3CDTF">2026-08-20T22:40:15Z</dcterms:modified>
</cp:coreProperties>
</file>