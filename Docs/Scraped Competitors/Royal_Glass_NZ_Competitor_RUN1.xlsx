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97e08dea8a49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etitor Master" sheetId="1" r:id="R92edaa7bc1e94e4b"/>
    <x:sheet xmlns:r="http://schemas.openxmlformats.org/officeDocument/2006/relationships" name="Priority Watchlist" sheetId="2" r:id="R16c37d967d6f44bb"/>
    <x:sheet xmlns:r="http://schemas.openxmlformats.org/officeDocument/2006/relationships" name="Dashboard &amp; Legend" sheetId="3" r:id="Ra8a7fa1a380f4c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"/>
    <x:numFmt numFmtId="202" formatCode="yyyy-mm-dd"/>
    <x:numFmt numFmtId="203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777D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  <x:dxfs count="3">
    <x:dxf>
      <x:font>
        <x:b/>
      </x:font>
      <x:fill>
        <x:patternFill patternType="solid">
          <x:bgColor rgb="FFD9F2E6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5cff4d27144d30" /><Relationship Type="http://schemas.openxmlformats.org/officeDocument/2006/relationships/theme" Target="/xl/theme/theme1.xml" Id="R7999fb4db88a4823" /><Relationship Type="http://schemas.openxmlformats.org/officeDocument/2006/relationships/sharedStrings" Target="/xl/sharedStrings.xml" Id="R197ba3d1e5764973" /><Relationship Type="http://schemas.openxmlformats.org/officeDocument/2006/relationships/worksheet" Target="/xl/worksheets/sheet1.xml" Id="R92edaa7bc1e94e4b" /><Relationship Type="http://schemas.openxmlformats.org/officeDocument/2006/relationships/worksheet" Target="/xl/worksheets/sheet2.xml" Id="R16c37d967d6f44bb" /><Relationship Type="http://schemas.openxmlformats.org/officeDocument/2006/relationships/worksheet" Target="/xl/worksheets/sheet3.xml" Id="Ra8a7fa1a380f4c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a18d4c98269423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Competitor Tier Distribution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 &amp; Legend'!$D$4:$D$7</c:f>
              <c:strCache>
                <c:ptCount val="0"/>
              </c:strCache>
            </c:strRef>
          </c:cat>
          <c:val>
            <c:numRef>
              <c:f>'Dashboard &amp; Legend'!$E$4:$E$7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18d4c98269423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mpetitorMasterTable" displayName="CompetitorMasterTable" ref="A1:AE77" headerRowCount="1" totalsRowCount="0" totalsRowShown="0">
  <x:tableColumns count="31">
    <x:tableColumn id="1" name="Competitor Name"/>
    <x:tableColumn id="2" name="Website URL"/>
    <x:tableColumn id="3" name="Physical Address"/>
    <x:tableColumn id="4" name="City"/>
    <x:tableColumn id="5" name="Region"/>
    <x:tableColumn id="6" name="Phone"/>
    <x:tableColumn id="7" name="Email"/>
    <x:tableColumn id="8" name="Facebook"/>
    <x:tableColumn id="9" name="Instagram"/>
    <x:tableColumn id="10" name="LinkedIn"/>
    <x:tableColumn id="11" name="Google Rating"/>
    <x:tableColumn id="12" name="Google Reviews"/>
    <x:tableColumn id="13" name="Primary Market"/>
    <x:tableColumn id="14" name="Balustrades"/>
    <x:tableColumn id="15" name="Pool Fencing"/>
    <x:tableColumn id="16" name="Frameless Showers"/>
    <x:tableColumn id="17" name="Partitions / Commercial"/>
    <x:tableColumn id="18" name="Mirrors / Gym Mirrors"/>
    <x:tableColumn id="19" name="Splashbacks"/>
    <x:tableColumn id="20" name="General Glazing"/>
    <x:tableColumn id="21" name="Service Match Count"/>
    <x:tableColumn id="22" name="Social Channels Found"/>
    <x:tableColumn id="23" name="Competitor Tier"/>
    <x:tableColumn id="24" name="Monitoring Priority"/>
    <x:tableColumn id="25" name="Business Type"/>
    <x:tableColumn id="26" name="Geographic Reach"/>
    <x:tableColumn id="27" name="Marketing / SEO Signal"/>
    <x:tableColumn id="28" name="What Royal Glass Can Learn / Watch"/>
    <x:tableColumn id="29" name="Source URL 1"/>
    <x:tableColumn id="30" name="Source URL 2"/>
    <x:tableColumn id="31" name="Last Verifi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orityWatchlistTable" displayName="PriorityWatchlistTable" ref="A1:O25" headerRowCount="1" totalsRowCount="0" totalsRowShown="0">
  <x:tableColumns count="15">
    <x:tableColumn id="1" name="Competitor"/>
    <x:tableColumn id="2" name="Region"/>
    <x:tableColumn id="3" name="Website"/>
    <x:tableColumn id="4" name="Phone"/>
    <x:tableColumn id="5" name="Email"/>
    <x:tableColumn id="6" name="Facebook"/>
    <x:tableColumn id="7" name="Instagram"/>
    <x:tableColumn id="8" name="LinkedIn"/>
    <x:tableColumn id="9" name="Google Rating"/>
    <x:tableColumn id="10" name="Reviews"/>
    <x:tableColumn id="11" name="Tier"/>
    <x:tableColumn id="12" name="Service Match"/>
    <x:tableColumn id="13" name="Why Monitor"/>
    <x:tableColumn id="14" name="Action / What to Watch"/>
    <x:tableColumn id="15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474d11aa484e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f9282a167bd49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3ce1519b7d684c2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42" hidden="0" customWidth="1"/>
    <x:col min="4" max="4" width="18" hidden="0" customWidth="1"/>
    <x:col min="5" max="5" width="22" hidden="0" customWidth="1"/>
    <x:col min="6" max="6" width="22" hidden="0" customWidth="1"/>
    <x:col min="7" max="7" width="28" hidden="0" customWidth="1"/>
    <x:col min="8" max="8" width="34" hidden="0" customWidth="1"/>
    <x:col min="9" max="9" width="34" hidden="0" customWidth="1"/>
    <x:col min="10" max="10" width="38" hidden="0" customWidth="1"/>
    <x:col min="11" max="11" width="12" hidden="0" customWidth="1"/>
    <x:col min="12" max="12" width="13" hidden="0" customWidth="1"/>
    <x:col min="13" max="13" width="24" hidden="0" customWidth="1"/>
    <x:col min="14" max="14" width="13" hidden="0" customWidth="1"/>
    <x:col min="15" max="15" width="13" hidden="0" customWidth="1"/>
    <x:col min="16" max="16" width="16" hidden="0" customWidth="1"/>
    <x:col min="17" max="17" width="19" hidden="0" customWidth="1"/>
    <x:col min="18" max="18" width="19" hidden="0" customWidth="1"/>
    <x:col min="19" max="19" width="13" hidden="0" customWidth="1"/>
    <x:col min="20" max="20" width="15" hidden="0" customWidth="1"/>
    <x:col min="21" max="21" width="15" hidden="0" customWidth="1"/>
    <x:col min="22" max="22" width="17" hidden="0" customWidth="1"/>
    <x:col min="23" max="23" width="13" hidden="0" customWidth="1"/>
    <x:col min="24" max="24" width="16" hidden="0" customWidth="1"/>
    <x:col min="25" max="25" width="30" hidden="0" customWidth="1"/>
    <x:col min="26" max="26" width="30" hidden="0" customWidth="1"/>
    <x:col min="27" max="27" width="48" hidden="0" customWidth="1"/>
    <x:col min="28" max="28" width="52" hidden="0" customWidth="1"/>
    <x:col min="29" max="29" width="38" hidden="0" customWidth="1"/>
    <x:col min="30" max="30" width="38" hidden="0" customWidth="1"/>
    <x:col min="31" max="31" width="14" hidden="0" customWidth="1"/>
  </x:cols>
  <x:sheetData>
    <x:row r="1" ht="34" customHeight="1">
      <x:c r="A1" s="6" t="str">
        <x:v>Competitor Name</x:v>
      </x:c>
      <x:c r="B1" s="6" t="str">
        <x:v>Website URL</x:v>
      </x:c>
      <x:c r="C1" s="6" t="str">
        <x:v>Physical Address</x:v>
      </x:c>
      <x:c r="D1" s="6" t="str">
        <x:v>City</x:v>
      </x:c>
      <x:c r="E1" s="6" t="str">
        <x:v>Region</x:v>
      </x:c>
      <x:c r="F1" s="6" t="str">
        <x:v>Phone</x:v>
      </x:c>
      <x:c r="G1" s="6" t="str">
        <x:v>Email</x:v>
      </x:c>
      <x:c r="H1" s="6" t="str">
        <x:v>Facebook</x:v>
      </x:c>
      <x:c r="I1" s="6" t="str">
        <x:v>Instagram</x:v>
      </x:c>
      <x:c r="J1" s="6" t="str">
        <x:v>LinkedIn</x:v>
      </x:c>
      <x:c r="K1" s="6" t="str">
        <x:v>Google Rating</x:v>
      </x:c>
      <x:c r="L1" s="6" t="str">
        <x:v>Google Reviews</x:v>
      </x:c>
      <x:c r="M1" s="6" t="str">
        <x:v>Primary Market</x:v>
      </x:c>
      <x:c r="N1" s="6" t="str">
        <x:v>Balustrades</x:v>
      </x:c>
      <x:c r="O1" s="6" t="str">
        <x:v>Pool Fencing</x:v>
      </x:c>
      <x:c r="P1" s="6" t="str">
        <x:v>Frameless Showers</x:v>
      </x:c>
      <x:c r="Q1" s="6" t="str">
        <x:v>Partitions / Commercial</x:v>
      </x:c>
      <x:c r="R1" s="6" t="str">
        <x:v>Mirrors / Gym Mirrors</x:v>
      </x:c>
      <x:c r="S1" s="6" t="str">
        <x:v>Splashbacks</x:v>
      </x:c>
      <x:c r="T1" s="6" t="str">
        <x:v>General Glazing</x:v>
      </x:c>
      <x:c r="U1" s="6" t="str">
        <x:v>Service Match Count</x:v>
      </x:c>
      <x:c r="V1" s="6" t="str">
        <x:v>Social Channels Found</x:v>
      </x:c>
      <x:c r="W1" s="6" t="str">
        <x:v>Competitor Tier</x:v>
      </x:c>
      <x:c r="X1" s="6" t="str">
        <x:v>Monitoring Priority</x:v>
      </x:c>
      <x:c r="Y1" s="6" t="str">
        <x:v>Business Type</x:v>
      </x:c>
      <x:c r="Z1" s="6" t="str">
        <x:v>Geographic Reach</x:v>
      </x:c>
      <x:c r="AA1" s="6" t="str">
        <x:v>Marketing / SEO Signal</x:v>
      </x:c>
      <x:c r="AB1" s="6" t="str">
        <x:v>What Royal Glass Can Learn / Watch</x:v>
      </x:c>
      <x:c r="AC1" s="6" t="str">
        <x:v>Source URL 1</x:v>
      </x:c>
      <x:c r="AD1" s="6" t="str">
        <x:v>Source URL 2</x:v>
      </x:c>
      <x:c r="AE1" s="6" t="str">
        <x:v>Last Verified</x:v>
      </x:c>
    </x:row>
    <x:row r="2">
      <x:c r="A2" s="12" t="str">
        <x:v>360 Glass Ltd</x:v>
      </x:c>
      <x:c r="B2" s="12" t="str">
        <x:v>https://360glass.co.nz/</x:v>
      </x:c>
      <x:c r="C2" s="12" t="str">
        <x:v>32 Hillside Road, Wairau Valley, Auckland 0627</x:v>
      </x:c>
      <x:c r="D2" s="12" t="str">
        <x:v>Auckland</x:v>
      </x:c>
      <x:c r="E2" s="12" t="str">
        <x:v>Auckland</x:v>
      </x:c>
      <x:c r="F2" s="12" t="str">
        <x:v>09 443 5742 / 0800 360 452</x:v>
      </x:c>
      <x:c r="G2" s="12" t="str">
        <x:v>office@360glass.co.nz</x:v>
      </x:c>
      <x:c r="H2" s="12" t="str">
        <x:v>https://www.facebook.com/360glass/</x:v>
      </x:c>
      <x:c r="I2" s="12" t="str">
        <x:v>Not publicly verified</x:v>
      </x:c>
      <x:c r="J2" s="12" t="str">
        <x:v>Not publicly verified</x:v>
      </x:c>
      <x:c r="K2" s="14" t="n">
        <x:v>4.9</x:v>
      </x:c>
      <x:c r="L2" s="16" t="n">
        <x:v>107</x:v>
      </x:c>
      <x:c r="M2" s="12" t="str">
        <x:v>Residential &amp; Commercial</x:v>
      </x:c>
      <x:c r="N2" s="12" t="str">
        <x:v>Yes</x:v>
      </x:c>
      <x:c r="O2" s="12" t="str">
        <x:v>Yes</x:v>
      </x:c>
      <x:c r="P2" s="12" t="str">
        <x:v>Yes</x:v>
      </x:c>
      <x:c r="Q2" s="12" t="str">
        <x:v>Yes</x:v>
      </x:c>
      <x:c r="R2" s="12" t="str">
        <x:v>Yes</x:v>
      </x:c>
      <x:c r="S2" s="12" t="str">
        <x:v>Yes</x:v>
      </x:c>
      <x:c r="T2" s="12" t="str">
        <x:v>Yes</x:v>
      </x:c>
      <x:c r="U2" s="12" t="n">
        <x:f>COUNTIF(N2:T2,"Yes")</x:f>
        <x:v>7</x:v>
      </x:c>
      <x:c r="V2" s="12" t="n">
        <x:f>COUNTIF(H2:J2,"&lt;&gt;Not publicly verified")</x:f>
        <x:v>1</x:v>
      </x:c>
      <x:c r="W2" s="12" t="str">
        <x:v>A+</x:v>
      </x:c>
      <x:c r="X2" s="12" t="str">
        <x:v>High</x:v>
      </x:c>
      <x:c r="Y2" s="12" t="str">
        <x:v>Direct full-service competitor</x:v>
      </x:c>
      <x:c r="Z2" s="12" t="str">
        <x:v>Greater Auckland</x:v>
      </x:c>
      <x:c r="AA2" s="12" t="str">
        <x:v>High review authority; technical pages for channel, point-fixed/standoff, spigot and bespoke/curved balustrades.</x:v>
      </x:c>
      <x:c r="AB2" s="12" t="str">
        <x:v>Track balustrade-system landing pages, technical terminology, project photography, reviews and enquiry funnel.</x:v>
      </x:c>
      <x:c r="AC2" s="12" t="str">
        <x:v>https://360glass.co.nz/</x:v>
      </x:c>
      <x:c r="AD2" s="12" t="str">
        <x:v>https://www.wganz.org.nz/members/360-glass-ltd/</x:v>
      </x:c>
      <x:c r="AE2" s="18" t="n">
        <x:v>46255</x:v>
      </x:c>
    </x:row>
    <x:row r="3">
      <x:c r="A3" s="12" t="str">
        <x:v>Haynes Glass</x:v>
      </x:c>
      <x:c r="B3" s="12" t="str">
        <x:v>https://www.haynesglass.co.nz/</x:v>
      </x:c>
      <x:c r="C3" s="12" t="str">
        <x:v>38 Trugood Drive, East Tamaki, Auckland; branch: Unit 30/90 Hobsonville Road</x:v>
      </x:c>
      <x:c r="D3" s="12" t="str">
        <x:v>Auckland</x:v>
      </x:c>
      <x:c r="E3" s="12" t="str">
        <x:v>Auckland</x:v>
      </x:c>
      <x:c r="F3" s="12" t="str">
        <x:v>0508 452 777</x:v>
      </x:c>
      <x:c r="G3" s="12" t="str">
        <x:v>sales@haynesglass.co.nz</x:v>
      </x:c>
      <x:c r="H3" s="12" t="str">
        <x:v>Not publicly verified</x:v>
      </x:c>
      <x:c r="I3" s="12" t="str">
        <x:v>Not publicly verified</x:v>
      </x:c>
      <x:c r="J3" s="12" t="str">
        <x:v>https://nz.linkedin.com/company/haynes-glass</x:v>
      </x:c>
      <x:c r="K3" s="14" t="n">
        <x:v>4.8</x:v>
      </x:c>
      <x:c r="L3" s="16" t="n">
        <x:v>80</x:v>
      </x:c>
      <x:c r="M3" s="12" t="str">
        <x:v>Residential, Commercial &amp; Trade</x:v>
      </x:c>
      <x:c r="N3" s="12" t="str">
        <x:v>Yes</x:v>
      </x:c>
      <x:c r="O3" s="12" t="str">
        <x:v>Yes</x:v>
      </x:c>
      <x:c r="P3" s="12" t="str">
        <x:v>Yes</x:v>
      </x:c>
      <x:c r="Q3" s="12" t="str">
        <x:v>Yes</x:v>
      </x:c>
      <x:c r="R3" s="12" t="str">
        <x:v>Yes</x:v>
      </x:c>
      <x:c r="S3" s="12" t="str">
        <x:v>Yes</x:v>
      </x:c>
      <x:c r="T3" s="12" t="str">
        <x:v>Yes</x:v>
      </x:c>
      <x:c r="U3" s="12" t="n">
        <x:f>COUNTIF(N3:T3,"Yes")</x:f>
        <x:v>7</x:v>
      </x:c>
      <x:c r="V3" s="12" t="n">
        <x:f>COUNTIF(H3:J3,"&lt;&gt;Not publicly verified")</x:f>
        <x:v>1</x:v>
      </x:c>
      <x:c r="W3" s="12" t="str">
        <x:v>A+</x:v>
      </x:c>
      <x:c r="X3" s="12" t="str">
        <x:v>High</x:v>
      </x:c>
      <x:c r="Y3" s="12" t="str">
        <x:v>Direct full-service competitor</x:v>
      </x:c>
      <x:c r="Z3" s="12" t="str">
        <x:v>Greater Auckland</x:v>
      </x:c>
      <x:c r="AA3" s="12" t="str">
        <x:v>Dedicated pages for mini posts, channel, disc/anchors and post balustrades; strong builder/architect trade positioning.</x:v>
      </x:c>
      <x:c r="AB3" s="12" t="str">
        <x:v>Watch product taxonomy, trade-account proposition, technical system content and commercial portfolio.</x:v>
      </x:c>
      <x:c r="AC3" s="12" t="str">
        <x:v>https://www.haynesglass.co.nz/</x:v>
      </x:c>
      <x:c r="AD3" s="12" t="str">
        <x:v>https://nz.linkedin.com/company/haynes-glass</x:v>
      </x:c>
      <x:c r="AE3" s="18" t="n">
        <x:v>46255</x:v>
      </x:c>
    </x:row>
    <x:row r="4">
      <x:c r="A4" s="12" t="str">
        <x:v>Insight Glass Ltd</x:v>
      </x:c>
      <x:c r="B4" s="12" t="str">
        <x:v>https://insightglass.co.nz/</x:v>
      </x:c>
      <x:c r="C4" s="12" t="str">
        <x:v>Manuwai Road, Torbay / Long Bay, Auckland 0630</x:v>
      </x:c>
      <x:c r="D4" s="12" t="str">
        <x:v>Auckland</x:v>
      </x:c>
      <x:c r="E4" s="12" t="str">
        <x:v>Auckland</x:v>
      </x:c>
      <x:c r="F4" s="12" t="str">
        <x:v>021 036 2857</x:v>
      </x:c>
      <x:c r="G4" s="12" t="str">
        <x:v>Not publicly verified</x:v>
      </x:c>
      <x:c r="H4" s="12" t="str">
        <x:v>https://www.facebook.com/profile.php?id=100044457133279</x:v>
      </x:c>
      <x:c r="I4" s="12" t="str">
        <x:v>https://www.instagram.com/insightglassnz</x:v>
      </x:c>
      <x:c r="J4" s="12" t="str">
        <x:v>Not publicly verified</x:v>
      </x:c>
      <x:c r="K4" s="14" t="n">
        <x:v>5</x:v>
      </x:c>
      <x:c r="L4" s="16" t="n">
        <x:v>14</x:v>
      </x:c>
      <x:c r="M4" s="12" t="str">
        <x:v>Residential &amp; Commercial</x:v>
      </x:c>
      <x:c r="N4" s="12" t="str">
        <x:v>Yes</x:v>
      </x:c>
      <x:c r="O4" s="12" t="str">
        <x:v>Yes</x:v>
      </x:c>
      <x:c r="P4" s="12" t="str">
        <x:v>Yes</x:v>
      </x:c>
      <x:c r="Q4" s="12" t="str">
        <x:v>Yes</x:v>
      </x:c>
      <x:c r="R4" s="12" t="str">
        <x:v>Unclear</x:v>
      </x:c>
      <x:c r="S4" s="12" t="str">
        <x:v>Unclear</x:v>
      </x:c>
      <x:c r="T4" s="12" t="str">
        <x:v>Yes</x:v>
      </x:c>
      <x:c r="U4" s="12" t="n">
        <x:f>COUNTIF(N4:T4,"Yes")</x:f>
        <x:v>5</x:v>
      </x:c>
      <x:c r="V4" s="12" t="n">
        <x:f>COUNTIF(H4:J4,"&lt;&gt;Not publicly verified")</x:f>
        <x:v>2</x:v>
      </x:c>
      <x:c r="W4" s="12" t="str">
        <x:v>A</x:v>
      </x:c>
      <x:c r="X4" s="12" t="str">
        <x:v>High</x:v>
      </x:c>
      <x:c r="Y4" s="12" t="str">
        <x:v>Direct frameless/custom glass competitor</x:v>
      </x:c>
      <x:c r="Z4" s="12" t="str">
        <x:v>Auckland</x:v>
      </x:c>
      <x:c r="AA4" s="12" t="str">
        <x:v>SEO-oriented FAQs around pricing, compliance and customer questions; strong frameless positioning.</x:v>
      </x:c>
      <x:c r="AB4" s="12" t="str">
        <x:v>Benchmark FAQ/search-intent coverage, quote friction and educational content for AEO/GEO.</x:v>
      </x:c>
      <x:c r="AC4" s="12" t="str">
        <x:v>https://insightglass.co.nz/</x:v>
      </x:c>
      <x:c r="AD4" s="12" t="str">
        <x:v>https://www.facebook.com/profile.php?id=100044457133279</x:v>
      </x:c>
      <x:c r="AE4" s="18" t="n">
        <x:v>46255</x:v>
      </x:c>
    </x:row>
    <x:row r="5">
      <x:c r="A5" s="12" t="str">
        <x:v>Prime Glass Auckland</x:v>
      </x:c>
      <x:c r="B5" s="12" t="str">
        <x:v>https://www.primeglass.co.nz/</x:v>
      </x:c>
      <x:c r="C5" s="12" t="str">
        <x:v>3/36 Greenpark Road, Penrose, Auckland 1061</x:v>
      </x:c>
      <x:c r="D5" s="12" t="str">
        <x:v>Auckland</x:v>
      </x:c>
      <x:c r="E5" s="12" t="str">
        <x:v>Auckland</x:v>
      </x:c>
      <x:c r="F5" s="12" t="str">
        <x:v>0800 499 664</x:v>
      </x:c>
      <x:c r="G5" s="12" t="str">
        <x:v>info@primeglass.co.nz</x:v>
      </x:c>
      <x:c r="H5" s="12" t="str">
        <x:v>Not publicly verified</x:v>
      </x:c>
      <x:c r="I5" s="12" t="str">
        <x:v>Not publicly verified</x:v>
      </x:c>
      <x:c r="J5" s="12" t="str">
        <x:v>Not publicly verified</x:v>
      </x:c>
      <x:c r="K5" s="14" t="n">
        <x:v>4.8</x:v>
      </x:c>
      <x:c r="L5" s="16" t="n">
        <x:v>75</x:v>
      </x:c>
      <x:c r="M5" s="12" t="str">
        <x:v>Residential &amp; Commercial</x:v>
      </x:c>
      <x:c r="N5" s="12" t="str">
        <x:v>Yes</x:v>
      </x:c>
      <x:c r="O5" s="12" t="str">
        <x:v>Unclear</x:v>
      </x:c>
      <x:c r="P5" s="12" t="str">
        <x:v>Yes</x:v>
      </x:c>
      <x:c r="Q5" s="12" t="str">
        <x:v>Yes</x:v>
      </x:c>
      <x:c r="R5" s="12" t="str">
        <x:v>Yes</x:v>
      </x:c>
      <x:c r="S5" s="12" t="str">
        <x:v>Yes</x:v>
      </x:c>
      <x:c r="T5" s="12" t="str">
        <x:v>Yes</x:v>
      </x:c>
      <x:c r="U5" s="12" t="n">
        <x:f>COUNTIF(N5:T5,"Yes")</x:f>
        <x:v>6</x:v>
      </x:c>
      <x:c r="V5" s="12" t="n">
        <x:f>COUNTIF(H5:J5,"&lt;&gt;Not publicly verified")</x:f>
        <x:v>0</x:v>
      </x:c>
      <x:c r="W5" s="12" t="str">
        <x:v>A</x:v>
      </x:c>
      <x:c r="X5" s="12" t="str">
        <x:v>High</x:v>
      </x:c>
      <x:c r="Y5" s="12" t="str">
        <x:v>Direct/adjacent full-service glazier</x:v>
      </x:c>
      <x:c r="Z5" s="12" t="str">
        <x:v>Greater Auckland</x:v>
      </x:c>
      <x:c r="AA5" s="12" t="str">
        <x:v>Strong local SEO coverage by Auckland sub-region; 24/7 emergency angle; frequent Google-review content embedded on site.</x:v>
      </x:c>
      <x:c r="AB5" s="12" t="str">
        <x:v>Track local-area landing pages, response-time messaging, review integration and commercial lead capture.</x:v>
      </x:c>
      <x:c r="AC5" s="12" t="str">
        <x:v>https://www.primeglass.co.nz/</x:v>
      </x:c>
      <x:c r="AD5" s="12" t="str">
        <x:v>https://www.primeglass.co.nz/glazing/commercial/</x:v>
      </x:c>
      <x:c r="AE5" s="18" t="n">
        <x:v>46255</x:v>
      </x:c>
    </x:row>
    <x:row r="6">
      <x:c r="A6" s="12" t="str">
        <x:v>Auckland Glass</x:v>
      </x:c>
      <x:c r="B6" s="12" t="str">
        <x:v>https://www.aucklandglass.co.nz/</x:v>
      </x:c>
      <x:c r="C6" s="12" t="str">
        <x:v>4 Southdown Lane, Penrose, Auckland 1061</x:v>
      </x:c>
      <x:c r="D6" s="12" t="str">
        <x:v>Auckland</x:v>
      </x:c>
      <x:c r="E6" s="12" t="str">
        <x:v>Auckland</x:v>
      </x:c>
      <x:c r="F6" s="12" t="str">
        <x:v>0800 804 804</x:v>
      </x:c>
      <x:c r="G6" s="12" t="str">
        <x:v>admin@aucklandglass.co.nz</x:v>
      </x:c>
      <x:c r="H6" s="12" t="str">
        <x:v>Not publicly verified</x:v>
      </x:c>
      <x:c r="I6" s="12" t="str">
        <x:v>Not publicly verified</x:v>
      </x:c>
      <x:c r="J6" s="12" t="str">
        <x:v>Not publicly verified</x:v>
      </x:c>
      <x:c r="K6" s="14" t="n">
        <x:v>4.7</x:v>
      </x:c>
      <x:c r="L6" s="16" t="n">
        <x:v>457</x:v>
      </x:c>
      <x:c r="M6" s="12" t="str">
        <x:v>Residential &amp; Commercial</x:v>
      </x:c>
      <x:c r="N6" s="12" t="str">
        <x:v>Unclear</x:v>
      </x:c>
      <x:c r="O6" s="12" t="str">
        <x:v>Unclear</x:v>
      </x:c>
      <x:c r="P6" s="12" t="str">
        <x:v>Unclear</x:v>
      </x:c>
      <x:c r="Q6" s="12" t="str">
        <x:v>Unclear</x:v>
      </x:c>
      <x:c r="R6" s="12" t="str">
        <x:v>Unclear</x:v>
      </x:c>
      <x:c r="S6" s="12" t="str">
        <x:v>Unclear</x:v>
      </x:c>
      <x:c r="T6" s="12" t="str">
        <x:v>Yes</x:v>
      </x:c>
      <x:c r="U6" s="12" t="n">
        <x:f>COUNTIF(N6:T6,"Yes")</x:f>
        <x:v>1</x:v>
      </x:c>
      <x:c r="V6" s="12" t="n">
        <x:f>COUNTIF(H6:J6,"&lt;&gt;Not publicly verified")</x:f>
        <x:v>0</x:v>
      </x:c>
      <x:c r="W6" s="12" t="str">
        <x:v>B</x:v>
      </x:c>
      <x:c r="X6" s="12" t="str">
        <x:v>Medium</x:v>
      </x:c>
      <x:c r="Y6" s="12" t="str">
        <x:v>Large regional glazier / adjacent competitor</x:v>
      </x:c>
      <x:c r="Z6" s="12" t="str">
        <x:v>Auckland</x:v>
      </x:c>
      <x:c r="AA6" s="12" t="str">
        <x:v>Very strong Google review volume and broad glass-repair awareness.</x:v>
      </x:c>
      <x:c r="AB6" s="12" t="str">
        <x:v>Benchmark review acquisition, brand trust and local search visibility; lower priority for specialist-product monitoring.</x:v>
      </x:c>
      <x:c r="AC6" s="12" t="str">
        <x:v>https://www.aucklandglass.co.nz/</x:v>
      </x:c>
      <x:c r="AD6" s="12" t="str">
        <x:v>https://www.google.com/maps/search/?api=1&amp;query=Auckland+Glass+Penrose</x:v>
      </x:c>
      <x:c r="AE6" s="18" t="n">
        <x:v>46255</x:v>
      </x:c>
    </x:row>
    <x:row r="7">
      <x:c r="A7" s="12" t="str">
        <x:v>Elite Glazing and Glass Auckland</x:v>
      </x:c>
      <x:c r="B7" s="12" t="str">
        <x:v>https://eliteglazing.co.nz/</x:v>
      </x:c>
      <x:c r="C7" s="12" t="str">
        <x:v>83 Kerwyn Avenue, East Tamaki, Auckland 2013</x:v>
      </x:c>
      <x:c r="D7" s="12" t="str">
        <x:v>Auckland</x:v>
      </x:c>
      <x:c r="E7" s="12" t="str">
        <x:v>Auckland</x:v>
      </x:c>
      <x:c r="F7" s="12" t="str">
        <x:v>0800 435 483 / 09 558 3127</x:v>
      </x:c>
      <x:c r="G7" s="12" t="str">
        <x:v>admin@eliteglazing.co.nz</x:v>
      </x:c>
      <x:c r="H7" s="12" t="str">
        <x:v>Not publicly verified</x:v>
      </x:c>
      <x:c r="I7" s="12" t="str">
        <x:v>Not publicly verified</x:v>
      </x:c>
      <x:c r="J7" s="12" t="str">
        <x:v>Not publicly verified</x:v>
      </x:c>
      <x:c r="K7" s="14" t="n">
        <x:v>4.9</x:v>
      </x:c>
      <x:c r="L7" s="16" t="n">
        <x:v>124</x:v>
      </x:c>
      <x:c r="M7" s="12" t="str">
        <x:v>Residential &amp; Commercial</x:v>
      </x:c>
      <x:c r="N7" s="12" t="str">
        <x:v>Unclear</x:v>
      </x:c>
      <x:c r="O7" s="12" t="str">
        <x:v>Unclear</x:v>
      </x:c>
      <x:c r="P7" s="12" t="str">
        <x:v>Yes</x:v>
      </x:c>
      <x:c r="Q7" s="12" t="str">
        <x:v>Unclear</x:v>
      </x:c>
      <x:c r="R7" s="12" t="str">
        <x:v>Yes</x:v>
      </x:c>
      <x:c r="S7" s="12" t="str">
        <x:v>Yes</x:v>
      </x:c>
      <x:c r="T7" s="12" t="str">
        <x:v>Yes</x:v>
      </x:c>
      <x:c r="U7" s="12" t="n">
        <x:f>COUNTIF(N7:T7,"Yes")</x:f>
        <x:v>4</x:v>
      </x:c>
      <x:c r="V7" s="12" t="n">
        <x:f>COUNTIF(H7:J7,"&lt;&gt;Not publicly verified")</x:f>
        <x:v>0</x:v>
      </x:c>
      <x:c r="W7" s="12" t="str">
        <x:v>B</x:v>
      </x:c>
      <x:c r="X7" s="12" t="str">
        <x:v>Medium</x:v>
      </x:c>
      <x:c r="Y7" s="12" t="str">
        <x:v>Adjacent full-service glazier</x:v>
      </x:c>
      <x:c r="Z7" s="12" t="str">
        <x:v>Auckland</x:v>
      </x:c>
      <x:c r="AA7" s="12" t="str">
        <x:v>Strong review count and repair/double-glazing visibility; broad residential glass offer.</x:v>
      </x:c>
      <x:c r="AB7" s="12" t="str">
        <x:v>Watch review velocity, service-page conversion and local search presence.</x:v>
      </x:c>
      <x:c r="AC7" s="12" t="str">
        <x:v>https://eliteglazing.co.nz/</x:v>
      </x:c>
      <x:c r="AD7" s="12" t="str">
        <x:v>https://www.google.com/maps/search/?api=1&amp;query=Elite+Glazing+and+Glass+Auckland</x:v>
      </x:c>
      <x:c r="AE7" s="18" t="n">
        <x:v>46255</x:v>
      </x:c>
    </x:row>
    <x:row r="8">
      <x:c r="A8" s="12" t="str">
        <x:v>Provista Balustrade Systems</x:v>
      </x:c>
      <x:c r="B8" s="12" t="str">
        <x:v>https://provista.co.nz/</x:v>
      </x:c>
      <x:c r="C8" s="12" t="str">
        <x:v>112 Taylor Street, Blockhouse Bay, Auckland 0600</x:v>
      </x:c>
      <x:c r="D8" s="12" t="str">
        <x:v>Auckland</x:v>
      </x:c>
      <x:c r="E8" s="12" t="str">
        <x:v>Auckland / Nationwide network</x:v>
      </x:c>
      <x:c r="F8" s="12" t="str">
        <x:v>027 249 6435</x:v>
      </x:c>
      <x:c r="G8" s="12" t="str">
        <x:v>nbarrett@provista.co.nz</x:v>
      </x:c>
      <x:c r="H8" s="12" t="str">
        <x:v>Not publicly verified</x:v>
      </x:c>
      <x:c r="I8" s="12" t="str">
        <x:v>Not publicly verified</x:v>
      </x:c>
      <x:c r="J8" s="12" t="str">
        <x:v>Not publicly verified</x:v>
      </x:c>
      <x:c r="K8" s="14" t="n">
        <x:v>4.8</x:v>
      </x:c>
      <x:c r="L8" s="16" t="n">
        <x:v>15</x:v>
      </x:c>
      <x:c r="M8" s="12" t="str">
        <x:v>Trade / Residential projects</x:v>
      </x:c>
      <x:c r="N8" s="12" t="str">
        <x:v>Yes</x:v>
      </x:c>
      <x:c r="O8" s="12" t="str">
        <x:v>Yes</x:v>
      </x:c>
      <x:c r="P8" s="12" t="str">
        <x:v>No</x:v>
      </x:c>
      <x:c r="Q8" s="12" t="str">
        <x:v>No</x:v>
      </x:c>
      <x:c r="R8" s="12" t="str">
        <x:v>No</x:v>
      </x:c>
      <x:c r="S8" s="12" t="str">
        <x:v>No</x:v>
      </x:c>
      <x:c r="T8" s="12" t="str">
        <x:v>No</x:v>
      </x:c>
      <x:c r="U8" s="12" t="n">
        <x:f>COUNTIF(N8:T8,"Yes")</x:f>
        <x:v>2</x:v>
      </x:c>
      <x:c r="V8" s="12" t="n">
        <x:f>COUNTIF(H8:J8,"&lt;&gt;Not publicly verified")</x:f>
        <x:v>0</x:v>
      </x:c>
      <x:c r="W8" s="12" t="str">
        <x:v>B</x:v>
      </x:c>
      <x:c r="X8" s="12" t="str">
        <x:v>Medium</x:v>
      </x:c>
      <x:c r="Y8" s="12" t="str">
        <x:v>Balustrade system supplier / installer network</x:v>
      </x:c>
      <x:c r="Z8" s="12" t="str">
        <x:v>New Zealand dealer/fabricator network</x:v>
      </x:c>
      <x:c r="AA8" s="12" t="str">
        <x:v>Product-system and installer-network model rather than pure local glazing.</x:v>
      </x:c>
      <x:c r="AB8" s="12" t="str">
        <x:v>Watch system innovation, dealer network, technical documentation and architect/specifier resources.</x:v>
      </x:c>
      <x:c r="AC8" s="12" t="str">
        <x:v>https://provista.co.nz/</x:v>
      </x:c>
      <x:c r="AD8" s="12" t="str">
        <x:v>https://www.google.com/maps/search/?api=1&amp;query=Provista+Balustrade+Systems</x:v>
      </x:c>
      <x:c r="AE8" s="18" t="n">
        <x:v>46255</x:v>
      </x:c>
    </x:row>
    <x:row r="9">
      <x:c r="A9" s="12" t="str">
        <x:v>Glass &amp; Glazing Ltd</x:v>
      </x:c>
      <x:c r="B9" s="12" t="str">
        <x:v>https://glassandglazing.co.nz/</x:v>
      </x:c>
      <x:c r="C9" s="12" t="str">
        <x:v>15 West Street, Frankton, Hamilton 3204</x:v>
      </x:c>
      <x:c r="D9" s="12" t="str">
        <x:v>Hamilton</x:v>
      </x:c>
      <x:c r="E9" s="12" t="str">
        <x:v>Waikato</x:v>
      </x:c>
      <x:c r="F9" s="12" t="str">
        <x:v>07 847 1911</x:v>
      </x:c>
      <x:c r="G9" s="12" t="str">
        <x:v>admin@glassandglazing.co.nz</x:v>
      </x:c>
      <x:c r="H9" s="12" t="str">
        <x:v>Not publicly verified</x:v>
      </x:c>
      <x:c r="I9" s="12" t="str">
        <x:v>Not publicly verified</x:v>
      </x:c>
      <x:c r="J9" s="12" t="str">
        <x:v>Not publicly verified</x:v>
      </x:c>
      <x:c r="K9" s="14" t="n">
        <x:v>4.9</x:v>
      </x:c>
      <x:c r="L9" s="16" t="n">
        <x:v>34</x:v>
      </x:c>
      <x:c r="M9" s="12" t="str">
        <x:v>Residential &amp; Commercial</x:v>
      </x:c>
      <x:c r="N9" s="12" t="str">
        <x:v>Yes</x:v>
      </x:c>
      <x:c r="O9" s="12" t="str">
        <x:v>Unclear</x:v>
      </x:c>
      <x:c r="P9" s="12" t="str">
        <x:v>Yes</x:v>
      </x:c>
      <x:c r="Q9" s="12" t="str">
        <x:v>Yes</x:v>
      </x:c>
      <x:c r="R9" s="12" t="str">
        <x:v>Unclear</x:v>
      </x:c>
      <x:c r="S9" s="12" t="str">
        <x:v>Unclear</x:v>
      </x:c>
      <x:c r="T9" s="12" t="str">
        <x:v>Yes</x:v>
      </x:c>
      <x:c r="U9" s="12" t="n">
        <x:f>COUNTIF(N9:T9,"Yes")</x:f>
        <x:v>4</x:v>
      </x:c>
      <x:c r="V9" s="12" t="n">
        <x:f>COUNTIF(H9:J9,"&lt;&gt;Not publicly verified")</x:f>
        <x:v>0</x:v>
      </x:c>
      <x:c r="W9" s="12" t="str">
        <x:v>A</x:v>
      </x:c>
      <x:c r="X9" s="12" t="str">
        <x:v>High</x:v>
      </x:c>
      <x:c r="Y9" s="12" t="str">
        <x:v>Direct regional full-service competitor</x:v>
      </x:c>
      <x:c r="Z9" s="12" t="str">
        <x:v>Waikato</x:v>
      </x:c>
      <x:c r="AA9" s="12" t="str">
        <x:v>Broad residential/commercial glazing with strong review rating.</x:v>
      </x:c>
      <x:c r="AB9" s="12" t="str">
        <x:v>Monitor service breadth, builder/commercial acquisition and regional SEO pages.</x:v>
      </x:c>
      <x:c r="AC9" s="12" t="str">
        <x:v>https://glassandglazing.co.nz/</x:v>
      </x:c>
      <x:c r="AD9" s="12" t="str">
        <x:v>https://www.google.com/maps/search/?api=1&amp;query=Glass+and+Glazing+Ltd+Hamilton</x:v>
      </x:c>
      <x:c r="AE9" s="18" t="n">
        <x:v>46255</x:v>
      </x:c>
    </x:row>
    <x:row r="10">
      <x:c r="A10" s="12" t="str">
        <x:v>City Glass Services Ltd</x:v>
      </x:c>
      <x:c r="B10" s="12" t="str">
        <x:v>https://www.cityglass.co.nz/</x:v>
      </x:c>
      <x:c r="C10" s="12" t="str">
        <x:v>149 Riverlea Road, Hamilton 3216</x:v>
      </x:c>
      <x:c r="D10" s="12" t="str">
        <x:v>Hamilton</x:v>
      </x:c>
      <x:c r="E10" s="12" t="str">
        <x:v>Waikato</x:v>
      </x:c>
      <x:c r="F10" s="12" t="str">
        <x:v>07 856 5669</x:v>
      </x:c>
      <x:c r="G10" s="12" t="str">
        <x:v>admin@cityglass.co.nz</x:v>
      </x:c>
      <x:c r="H10" s="12" t="str">
        <x:v>Not publicly verified</x:v>
      </x:c>
      <x:c r="I10" s="12" t="str">
        <x:v>Not publicly verified</x:v>
      </x:c>
      <x:c r="J10" s="12" t="str">
        <x:v>Not publicly verified</x:v>
      </x:c>
      <x:c r="K10" s="14" t="n">
        <x:v>4.8</x:v>
      </x:c>
      <x:c r="L10" s="16" t="n">
        <x:v>41</x:v>
      </x:c>
      <x:c r="M10" s="12" t="str">
        <x:v>Residential &amp; Commercial</x:v>
      </x:c>
      <x:c r="N10" s="12" t="str">
        <x:v>Yes</x:v>
      </x:c>
      <x:c r="O10" s="12" t="str">
        <x:v>Yes</x:v>
      </x:c>
      <x:c r="P10" s="12" t="str">
        <x:v>Yes</x:v>
      </x:c>
      <x:c r="Q10" s="12" t="str">
        <x:v>Unclear</x:v>
      </x:c>
      <x:c r="R10" s="12" t="str">
        <x:v>Yes</x:v>
      </x:c>
      <x:c r="S10" s="12" t="str">
        <x:v>Yes</x:v>
      </x:c>
      <x:c r="T10" s="12" t="str">
        <x:v>Yes</x:v>
      </x:c>
      <x:c r="U10" s="12" t="n">
        <x:f>COUNTIF(N10:T10,"Yes")</x:f>
        <x:v>6</x:v>
      </x:c>
      <x:c r="V10" s="12" t="n">
        <x:f>COUNTIF(H10:J10,"&lt;&gt;Not publicly verified")</x:f>
        <x:v>0</x:v>
      </x:c>
      <x:c r="W10" s="12" t="str">
        <x:v>A</x:v>
      </x:c>
      <x:c r="X10" s="12" t="str">
        <x:v>High</x:v>
      </x:c>
      <x:c r="Y10" s="12" t="str">
        <x:v>Direct regional full-service competitor</x:v>
      </x:c>
      <x:c r="Z10" s="12" t="str">
        <x:v>Hamilton / Waikato</x:v>
      </x:c>
      <x:c r="AA10" s="12" t="str">
        <x:v>Strong overlap across balustrades, pool fencing, showers, mirrors and splashbacks.</x:v>
      </x:c>
      <x:c r="AB10" s="12" t="str">
        <x:v>Monitor package/cross-sell positioning and local SEO for Waikato glass services.</x:v>
      </x:c>
      <x:c r="AC10" s="12" t="str">
        <x:v>https://www.cityglass.co.nz/</x:v>
      </x:c>
      <x:c r="AD10" s="12" t="str">
        <x:v>https://www.google.com/maps/search/?api=1&amp;query=City+Glass+Services+Hamilton</x:v>
      </x:c>
      <x:c r="AE10" s="18" t="n">
        <x:v>46255</x:v>
      </x:c>
    </x:row>
    <x:row r="11">
      <x:c r="A11" s="12" t="str">
        <x:v>CM Glass</x:v>
      </x:c>
      <x:c r="B11" s="12" t="str">
        <x:v>https://www.cmglass.nz/</x:v>
      </x:c>
      <x:c r="C11" s="12" t="str">
        <x:v>5 Norris Avenue, Te Rapa, Hamilton 3200</x:v>
      </x:c>
      <x:c r="D11" s="12" t="str">
        <x:v>Hamilton</x:v>
      </x:c>
      <x:c r="E11" s="12" t="str">
        <x:v>Waikato</x:v>
      </x:c>
      <x:c r="F11" s="12" t="str">
        <x:v>07 849 6554 / 0800 264 5277</x:v>
      </x:c>
      <x:c r="G11" s="12" t="str">
        <x:v>info@cmglass.nz</x:v>
      </x:c>
      <x:c r="H11" s="12" t="str">
        <x:v>Not publicly verified</x:v>
      </x:c>
      <x:c r="I11" s="12" t="str">
        <x:v>Not publicly verified</x:v>
      </x:c>
      <x:c r="J11" s="12" t="str">
        <x:v>Not publicly verified</x:v>
      </x:c>
      <x:c r="K11" s="14" t="n">
        <x:v>4.5</x:v>
      </x:c>
      <x:c r="L11" s="16" t="n">
        <x:v>34</x:v>
      </x:c>
      <x:c r="M11" s="12" t="str">
        <x:v>Residential &amp; Commercial</x:v>
      </x:c>
      <x:c r="N11" s="12" t="str">
        <x:v>Yes</x:v>
      </x:c>
      <x:c r="O11" s="12" t="str">
        <x:v>Yes</x:v>
      </x:c>
      <x:c r="P11" s="12" t="str">
        <x:v>Yes</x:v>
      </x:c>
      <x:c r="Q11" s="12" t="str">
        <x:v>Yes</x:v>
      </x:c>
      <x:c r="R11" s="12" t="str">
        <x:v>Unclear</x:v>
      </x:c>
      <x:c r="S11" s="12" t="str">
        <x:v>Unclear</x:v>
      </x:c>
      <x:c r="T11" s="12" t="str">
        <x:v>Yes</x:v>
      </x:c>
      <x:c r="U11" s="12" t="n">
        <x:f>COUNTIF(N11:T11,"Yes")</x:f>
        <x:v>5</x:v>
      </x:c>
      <x:c r="V11" s="12" t="n">
        <x:f>COUNTIF(H11:J11,"&lt;&gt;Not publicly verified")</x:f>
        <x:v>0</x:v>
      </x:c>
      <x:c r="W11" s="12" t="str">
        <x:v>A</x:v>
      </x:c>
      <x:c r="X11" s="12" t="str">
        <x:v>High</x:v>
      </x:c>
      <x:c r="Y11" s="12" t="str">
        <x:v>Direct multi-region glazing competitor</x:v>
      </x:c>
      <x:c r="Z11" s="12" t="str">
        <x:v>Waikato, Auckland, Bay of Plenty, Taranaki</x:v>
      </x:c>
      <x:c r="AA11" s="12" t="str">
        <x:v>Wider regional service footprint and commercial façade/glazing capability.</x:v>
      </x:c>
      <x:c r="AB11" s="12" t="str">
        <x:v>Watch geographic expansion, commercial credentials and lead generation across multiple regions.</x:v>
      </x:c>
      <x:c r="AC11" s="12" t="str">
        <x:v>https://www.cmglass.nz/</x:v>
      </x:c>
      <x:c r="AD11" s="12" t="str">
        <x:v>https://www.google.com/maps/search/?api=1&amp;query=CM+Glass+Hamilton</x:v>
      </x:c>
      <x:c r="AE11" s="18" t="n">
        <x:v>46255</x:v>
      </x:c>
    </x:row>
    <x:row r="12">
      <x:c r="A12" s="12" t="str">
        <x:v>Glassman Waikato</x:v>
      </x:c>
      <x:c r="B12" s="12" t="str">
        <x:v>https://glassmanwaikato.co.nz/</x:v>
      </x:c>
      <x:c r="C12" s="12" t="str">
        <x:v>Not publicly verified</x:v>
      </x:c>
      <x:c r="D12" s="12" t="str">
        <x:v>Hamilton / Waikato</x:v>
      </x:c>
      <x:c r="E12" s="12" t="str">
        <x:v>Waikato</x:v>
      </x:c>
      <x:c r="F12" s="12" t="str">
        <x:v>0800 204 104 / 027 454 3899</x:v>
      </x:c>
      <x:c r="G12" s="12" t="str">
        <x:v>Not publicly verified</x:v>
      </x:c>
      <x:c r="H12" s="12" t="str">
        <x:v>Not publicly verified</x:v>
      </x:c>
      <x:c r="I12" s="12" t="str">
        <x:v>Not publicly verified</x:v>
      </x:c>
      <x:c r="J12" s="12" t="str">
        <x:v>Not publicly verified</x:v>
      </x:c>
      <x:c r="K12" s="14" t="n">
        <x:v>4.5</x:v>
      </x:c>
      <x:c r="L12" s="16" t="n">
        <x:v>70</x:v>
      </x:c>
      <x:c r="M12" s="12" t="str">
        <x:v>Residential</x:v>
      </x:c>
      <x:c r="N12" s="12" t="str">
        <x:v>Unclear</x:v>
      </x:c>
      <x:c r="O12" s="12" t="str">
        <x:v>Unclear</x:v>
      </x:c>
      <x:c r="P12" s="12" t="str">
        <x:v>Unclear</x:v>
      </x:c>
      <x:c r="Q12" s="12" t="str">
        <x:v>Unclear</x:v>
      </x:c>
      <x:c r="R12" s="12" t="str">
        <x:v>Yes</x:v>
      </x:c>
      <x:c r="S12" s="12" t="str">
        <x:v>Unclear</x:v>
      </x:c>
      <x:c r="T12" s="12" t="str">
        <x:v>Yes</x:v>
      </x:c>
      <x:c r="U12" s="12" t="n">
        <x:f>COUNTIF(N12:T12,"Yes")</x:f>
        <x:v>2</x:v>
      </x:c>
      <x:c r="V12" s="12" t="n">
        <x:f>COUNTIF(H12:J12,"&lt;&gt;Not publicly verified")</x:f>
        <x:v>0</x:v>
      </x:c>
      <x:c r="W12" s="12" t="str">
        <x:v>C</x:v>
      </x:c>
      <x:c r="X12" s="12" t="str">
        <x:v>Low</x:v>
      </x:c>
      <x:c r="Y12" s="12" t="str">
        <x:v>Regional glazier / repair competitor</x:v>
      </x:c>
      <x:c r="Z12" s="12" t="str">
        <x:v>Waikato</x:v>
      </x:c>
      <x:c r="AA12" s="12" t="str">
        <x:v>General glazing and repair visibility; moderate local review base.</x:v>
      </x:c>
      <x:c r="AB12" s="12" t="str">
        <x:v>Use mainly as local SEO/review benchmark, not core balustrade monitoring.</x:v>
      </x:c>
      <x:c r="AC12" s="12" t="str">
        <x:v>https://glassmanwaikato.co.nz/</x:v>
      </x:c>
      <x:c r="AD12" s="12" t="str">
        <x:v>https://www.google.com/maps/search/?api=1&amp;query=Glassman+Waikato</x:v>
      </x:c>
      <x:c r="AE12" s="18" t="n">
        <x:v>46255</x:v>
      </x:c>
    </x:row>
    <x:row r="13">
      <x:c r="A13" s="12" t="str">
        <x:v>Glasswise</x:v>
      </x:c>
      <x:c r="B13" s="12" t="str">
        <x:v>Not publicly verified</x:v>
      </x:c>
      <x:c r="C13" s="12" t="str">
        <x:v>1/183 Maui Street, Pukete, Hamilton 3200</x:v>
      </x:c>
      <x:c r="D13" s="12" t="str">
        <x:v>Hamilton</x:v>
      </x:c>
      <x:c r="E13" s="12" t="str">
        <x:v>Waikato</x:v>
      </x:c>
      <x:c r="F13" s="12" t="str">
        <x:v>0508 445 277</x:v>
      </x:c>
      <x:c r="G13" s="12" t="str">
        <x:v>Not publicly verified</x:v>
      </x:c>
      <x:c r="H13" s="12" t="str">
        <x:v>Not publicly verified</x:v>
      </x:c>
      <x:c r="I13" s="12" t="str">
        <x:v>Not publicly verified</x:v>
      </x:c>
      <x:c r="J13" s="12" t="str">
        <x:v>Not publicly verified</x:v>
      </x:c>
      <x:c r="K13" s="14" t="n">
        <x:v>4.9</x:v>
      </x:c>
      <x:c r="L13" s="16" t="n">
        <x:v>69</x:v>
      </x:c>
      <x:c r="M13" s="12" t="str">
        <x:v>Residential &amp; Commercial</x:v>
      </x:c>
      <x:c r="N13" s="12" t="str">
        <x:v>Unclear</x:v>
      </x:c>
      <x:c r="O13" s="12" t="str">
        <x:v>Unclear</x:v>
      </x:c>
      <x:c r="P13" s="12" t="str">
        <x:v>Unclear</x:v>
      </x:c>
      <x:c r="Q13" s="12" t="str">
        <x:v>Unclear</x:v>
      </x:c>
      <x:c r="R13" s="12" t="str">
        <x:v>Unclear</x:v>
      </x:c>
      <x:c r="S13" s="12" t="str">
        <x:v>Unclear</x:v>
      </x:c>
      <x:c r="T13" s="12" t="str">
        <x:v>Yes</x:v>
      </x:c>
      <x:c r="U13" s="12" t="n">
        <x:f>COUNTIF(N13:T13,"Yes")</x:f>
        <x:v>1</x:v>
      </x:c>
      <x:c r="V13" s="12" t="n">
        <x:f>COUNTIF(H13:J13,"&lt;&gt;Not publicly verified")</x:f>
        <x:v>0</x:v>
      </x:c>
      <x:c r="W13" s="12" t="str">
        <x:v>B</x:v>
      </x:c>
      <x:c r="X13" s="12" t="str">
        <x:v>Medium</x:v>
      </x:c>
      <x:c r="Y13" s="12" t="str">
        <x:v>Regional glazier</x:v>
      </x:c>
      <x:c r="Z13" s="12" t="str">
        <x:v>Waikato</x:v>
      </x:c>
      <x:c r="AA13" s="12" t="str">
        <x:v>Strong local review rating; service overlap requires deeper verification.</x:v>
      </x:c>
      <x:c r="AB13" s="12" t="str">
        <x:v>Verify product mix before adding to recurring content/social monitoring.</x:v>
      </x:c>
      <x:c r="AC13" s="12" t="str">
        <x:v>https://www.google.com/maps/search/?api=1&amp;query=Glasswise+Hamilton</x:v>
      </x:c>
      <x:c r="AD13" s="12" t="str">
        <x:v>Not publicly verified</x:v>
      </x:c>
      <x:c r="AE13" s="18" t="n">
        <x:v>46255</x:v>
      </x:c>
    </x:row>
    <x:row r="14">
      <x:c r="A14" s="12" t="str">
        <x:v>Get Glass Solutions</x:v>
      </x:c>
      <x:c r="B14" s="12" t="str">
        <x:v>Not publicly verified</x:v>
      </x:c>
      <x:c r="C14" s="12" t="str">
        <x:v>35A Higgins Road, Frankton, Hamilton 3204</x:v>
      </x:c>
      <x:c r="D14" s="12" t="str">
        <x:v>Hamilton</x:v>
      </x:c>
      <x:c r="E14" s="12" t="str">
        <x:v>Waikato</x:v>
      </x:c>
      <x:c r="F14" s="12" t="str">
        <x:v>07 847 3228</x:v>
      </x:c>
      <x:c r="G14" s="12" t="str">
        <x:v>Not publicly verified</x:v>
      </x:c>
      <x:c r="H14" s="12" t="str">
        <x:v>Not publicly verified</x:v>
      </x:c>
      <x:c r="I14" s="12" t="str">
        <x:v>Not publicly verified</x:v>
      </x:c>
      <x:c r="J14" s="12" t="str">
        <x:v>Not publicly verified</x:v>
      </x:c>
      <x:c r="K14" s="14" t="n">
        <x:v>4.7</x:v>
      </x:c>
      <x:c r="L14" s="16" t="n">
        <x:v>45</x:v>
      </x:c>
      <x:c r="M14" s="12" t="str">
        <x:v>Residential &amp; Commercial</x:v>
      </x:c>
      <x:c r="N14" s="12" t="str">
        <x:v>Unclear</x:v>
      </x:c>
      <x:c r="O14" s="12" t="str">
        <x:v>Unclear</x:v>
      </x:c>
      <x:c r="P14" s="12" t="str">
        <x:v>Unclear</x:v>
      </x:c>
      <x:c r="Q14" s="12" t="str">
        <x:v>Unclear</x:v>
      </x:c>
      <x:c r="R14" s="12" t="str">
        <x:v>Unclear</x:v>
      </x:c>
      <x:c r="S14" s="12" t="str">
        <x:v>Unclear</x:v>
      </x:c>
      <x:c r="T14" s="12" t="str">
        <x:v>Yes</x:v>
      </x:c>
      <x:c r="U14" s="12" t="n">
        <x:f>COUNTIF(N14:T14,"Yes")</x:f>
        <x:v>1</x:v>
      </x:c>
      <x:c r="V14" s="12" t="n">
        <x:f>COUNTIF(H14:J14,"&lt;&gt;Not publicly verified")</x:f>
        <x:v>0</x:v>
      </x:c>
      <x:c r="W14" s="12" t="str">
        <x:v>B</x:v>
      </x:c>
      <x:c r="X14" s="12" t="str">
        <x:v>Medium</x:v>
      </x:c>
      <x:c r="Y14" s="12" t="str">
        <x:v>Regional glazier</x:v>
      </x:c>
      <x:c r="Z14" s="12" t="str">
        <x:v>Waikato</x:v>
      </x:c>
      <x:c r="AA14" s="12" t="str">
        <x:v>Solid local reviews; exact specialist-service overlap needs verification.</x:v>
      </x:c>
      <x:c r="AB14" s="12" t="str">
        <x:v>Verify whether balustrade/pool work is meaningful before high-frequency monitoring.</x:v>
      </x:c>
      <x:c r="AC14" s="12" t="str">
        <x:v>https://www.google.com/maps/search/?api=1&amp;query=Get+Glass+Solutions+Hamilton</x:v>
      </x:c>
      <x:c r="AD14" s="12" t="str">
        <x:v>Not publicly verified</x:v>
      </x:c>
      <x:c r="AE14" s="18" t="n">
        <x:v>46255</x:v>
      </x:c>
    </x:row>
    <x:row r="15">
      <x:c r="A15" s="12" t="str">
        <x:v>First Glass Solutions</x:v>
      </x:c>
      <x:c r="B15" s="12" t="str">
        <x:v>https://www.firstglasssolutions.co.nz/</x:v>
      </x:c>
      <x:c r="C15" s="12" t="str">
        <x:v>Not publicly verified</x:v>
      </x:c>
      <x:c r="D15" s="12" t="str">
        <x:v>Tauranga</x:v>
      </x:c>
      <x:c r="E15" s="12" t="str">
        <x:v>Bay of Plenty</x:v>
      </x:c>
      <x:c r="F15" s="12" t="str">
        <x:v>07 571 1336</x:v>
      </x:c>
      <x:c r="G15" s="12" t="str">
        <x:v>info@firstglasssolutions.co.nz</x:v>
      </x:c>
      <x:c r="H15" s="12" t="str">
        <x:v>Not publicly verified</x:v>
      </x:c>
      <x:c r="I15" s="12" t="str">
        <x:v>Not publicly verified</x:v>
      </x:c>
      <x:c r="J15" s="12" t="str">
        <x:v>Not publicly verified</x:v>
      </x:c>
      <x:c r="K15" s="14" t="n">
        <x:v>5</x:v>
      </x:c>
      <x:c r="L15" s="16" t="n">
        <x:v>26</x:v>
      </x:c>
      <x:c r="M15" s="12" t="str">
        <x:v>Residential &amp; Commercial</x:v>
      </x:c>
      <x:c r="N15" s="12" t="str">
        <x:v>Yes</x:v>
      </x:c>
      <x:c r="O15" s="12" t="str">
        <x:v>Yes</x:v>
      </x:c>
      <x:c r="P15" s="12" t="str">
        <x:v>Yes</x:v>
      </x:c>
      <x:c r="Q15" s="12" t="str">
        <x:v>Unclear</x:v>
      </x:c>
      <x:c r="R15" s="12" t="str">
        <x:v>Yes</x:v>
      </x:c>
      <x:c r="S15" s="12" t="str">
        <x:v>Yes</x:v>
      </x:c>
      <x:c r="T15" s="12" t="str">
        <x:v>Yes</x:v>
      </x:c>
      <x:c r="U15" s="12" t="n">
        <x:f>COUNTIF(N15:T15,"Yes")</x:f>
        <x:v>6</x:v>
      </x:c>
      <x:c r="V15" s="12" t="n">
        <x:f>COUNTIF(H15:J15,"&lt;&gt;Not publicly verified")</x:f>
        <x:v>0</x:v>
      </x:c>
      <x:c r="W15" s="12" t="str">
        <x:v>A+</x:v>
      </x:c>
      <x:c r="X15" s="12" t="str">
        <x:v>High</x:v>
      </x:c>
      <x:c r="Y15" s="12" t="str">
        <x:v>Direct frameless/full-service competitor</x:v>
      </x:c>
      <x:c r="Z15" s="12" t="str">
        <x:v>Tauranga / Bay of Plenty</x:v>
      </x:c>
      <x:c r="AA15" s="12" t="str">
        <x:v>Strong frameless/semi-frameless positioning with channel/standoff systems and broad custom glass.</x:v>
      </x:c>
      <x:c r="AB15" s="12" t="str">
        <x:v>Monitor system-specific SEO, project case studies, frameless messaging and quote flow.</x:v>
      </x:c>
      <x:c r="AC15" s="12" t="str">
        <x:v>https://www.firstglasssolutions.co.nz/</x:v>
      </x:c>
      <x:c r="AD15" s="12" t="str">
        <x:v>https://www.google.com/maps/search/?api=1&amp;query=First+Glass+Solutions+Tauranga</x:v>
      </x:c>
      <x:c r="AE15" s="18" t="n">
        <x:v>46255</x:v>
      </x:c>
    </x:row>
    <x:row r="16">
      <x:c r="A16" s="12" t="str">
        <x:v>Tauranga Glass Ltd</x:v>
      </x:c>
      <x:c r="B16" s="12" t="str">
        <x:v>https://taurangaglass.co.nz/</x:v>
      </x:c>
      <x:c r="C16" s="12" t="str">
        <x:v>295 Fraser Street, Tauranga 3112</x:v>
      </x:c>
      <x:c r="D16" s="12" t="str">
        <x:v>Tauranga</x:v>
      </x:c>
      <x:c r="E16" s="12" t="str">
        <x:v>Bay of Plenty</x:v>
      </x:c>
      <x:c r="F16" s="12" t="str">
        <x:v>07 571 3324</x:v>
      </x:c>
      <x:c r="G16" s="12" t="str">
        <x:v>info@taurangaglass.co.nz</x:v>
      </x:c>
      <x:c r="H16" s="12" t="str">
        <x:v>https://www.facebook.com/pages/Tauranga-Glass/209530142546972</x:v>
      </x:c>
      <x:c r="I16" s="12" t="str">
        <x:v>Not publicly verified</x:v>
      </x:c>
      <x:c r="J16" s="12" t="str">
        <x:v>Not publicly verified</x:v>
      </x:c>
      <x:c r="K16" s="14" t="n">
        <x:v>4.8</x:v>
      </x:c>
      <x:c r="L16" s="16" t="n">
        <x:v>154</x:v>
      </x:c>
      <x:c r="M16" s="12" t="str">
        <x:v>Residential &amp; Commercial</x:v>
      </x:c>
      <x:c r="N16" s="12" t="str">
        <x:v>Yes</x:v>
      </x:c>
      <x:c r="O16" s="12" t="str">
        <x:v>Yes</x:v>
      </x:c>
      <x:c r="P16" s="12" t="str">
        <x:v>Yes</x:v>
      </x:c>
      <x:c r="Q16" s="12" t="str">
        <x:v>Unclear</x:v>
      </x:c>
      <x:c r="R16" s="12" t="str">
        <x:v>Yes</x:v>
      </x:c>
      <x:c r="S16" s="12" t="str">
        <x:v>Yes</x:v>
      </x:c>
      <x:c r="T16" s="12" t="str">
        <x:v>Yes</x:v>
      </x:c>
      <x:c r="U16" s="12" t="n">
        <x:f>COUNTIF(N16:T16,"Yes")</x:f>
        <x:v>6</x:v>
      </x:c>
      <x:c r="V16" s="12" t="n">
        <x:f>COUNTIF(H16:J16,"&lt;&gt;Not publicly verified")</x:f>
        <x:v>1</x:v>
      </x:c>
      <x:c r="W16" s="12" t="str">
        <x:v>A+</x:v>
      </x:c>
      <x:c r="X16" s="12" t="str">
        <x:v>High</x:v>
      </x:c>
      <x:c r="Y16" s="12" t="str">
        <x:v>Direct full-service competitor</x:v>
      </x:c>
      <x:c r="Z16" s="12" t="str">
        <x:v>Tauranga / Bay of Plenty</x:v>
      </x:c>
      <x:c r="AA16" s="12" t="str">
        <x:v>Large review base; explicitly markets channel, spigot and post systems plus broad glass services.</x:v>
      </x:c>
      <x:c r="AB16" s="12" t="str">
        <x:v>Track local brand authority, project/social content and balustrade-system product pages.</x:v>
      </x:c>
      <x:c r="AC16" s="12" t="str">
        <x:v>https://taurangaglass.co.nz/</x:v>
      </x:c>
      <x:c r="AD16" s="12" t="str">
        <x:v>https://www.facebook.com/pages/Tauranga-Glass/209530142546972</x:v>
      </x:c>
      <x:c r="AE16" s="18" t="n">
        <x:v>46255</x:v>
      </x:c>
    </x:row>
    <x:row r="17">
      <x:c r="A17" s="12" t="str">
        <x:v>The Glass Centre Tauranga</x:v>
      </x:c>
      <x:c r="B17" s="12" t="str">
        <x:v>https://theglasscentretauranga.co.nz/</x:v>
      </x:c>
      <x:c r="C17" s="12" t="str">
        <x:v>Unit 1/134 Newton Street, Mount Maunganui 3116</x:v>
      </x:c>
      <x:c r="D17" s="12" t="str">
        <x:v>Mount Maunganui</x:v>
      </x:c>
      <x:c r="E17" s="12" t="str">
        <x:v>Bay of Plenty</x:v>
      </x:c>
      <x:c r="F17" s="12" t="str">
        <x:v>0800 255 452</x:v>
      </x:c>
      <x:c r="G17" s="12" t="str">
        <x:v>Not publicly verified</x:v>
      </x:c>
      <x:c r="H17" s="12" t="str">
        <x:v>Not publicly verified</x:v>
      </x:c>
      <x:c r="I17" s="12" t="str">
        <x:v>Not publicly verified</x:v>
      </x:c>
      <x:c r="J17" s="12" t="str">
        <x:v>Not publicly verified</x:v>
      </x:c>
      <x:c r="K17" s="14" t="n">
        <x:v>5</x:v>
      </x:c>
      <x:c r="L17" s="16" t="n">
        <x:v>1</x:v>
      </x:c>
      <x:c r="M17" s="12" t="str">
        <x:v>Residential &amp; Commercial</x:v>
      </x:c>
      <x:c r="N17" s="12" t="str">
        <x:v>Yes</x:v>
      </x:c>
      <x:c r="O17" s="12" t="str">
        <x:v>Unclear</x:v>
      </x:c>
      <x:c r="P17" s="12" t="str">
        <x:v>Yes</x:v>
      </x:c>
      <x:c r="Q17" s="12" t="str">
        <x:v>Yes</x:v>
      </x:c>
      <x:c r="R17" s="12" t="str">
        <x:v>Yes</x:v>
      </x:c>
      <x:c r="S17" s="12" t="str">
        <x:v>Yes</x:v>
      </x:c>
      <x:c r="T17" s="12" t="str">
        <x:v>Yes</x:v>
      </x:c>
      <x:c r="U17" s="12" t="n">
        <x:f>COUNTIF(N17:T17,"Yes")</x:f>
        <x:v>6</x:v>
      </x:c>
      <x:c r="V17" s="12" t="n">
        <x:f>COUNTIF(H17:J17,"&lt;&gt;Not publicly verified")</x:f>
        <x:v>0</x:v>
      </x:c>
      <x:c r="W17" s="12" t="str">
        <x:v>A</x:v>
      </x:c>
      <x:c r="X17" s="12" t="str">
        <x:v>High</x:v>
      </x:c>
      <x:c r="Y17" s="12" t="str">
        <x:v>Direct regional full-service competitor</x:v>
      </x:c>
      <x:c r="Z17" s="12" t="str">
        <x:v>Tauranga / Bay of Plenty</x:v>
      </x:c>
      <x:c r="AA17" s="12" t="str">
        <x:v>High service overlap but very low Google review volume in discovered profile.</x:v>
      </x:c>
      <x:c r="AB17" s="12" t="str">
        <x:v>Useful service/offer benchmark; less important as review-authority benchmark.</x:v>
      </x:c>
      <x:c r="AC17" s="12" t="str">
        <x:v>https://theglasscentretauranga.co.nz/</x:v>
      </x:c>
      <x:c r="AD17" s="12" t="str">
        <x:v>https://www.google.com/maps/search/?api=1&amp;query=The+Glass+Centre+Tauranga</x:v>
      </x:c>
      <x:c r="AE17" s="18" t="n">
        <x:v>46255</x:v>
      </x:c>
    </x:row>
    <x:row r="18">
      <x:c r="A18" s="12" t="str">
        <x:v>Bay Glass &amp; Glazing</x:v>
      </x:c>
      <x:c r="B18" s="12" t="str">
        <x:v>Not publicly verified</x:v>
      </x:c>
      <x:c r="C18" s="12" t="str">
        <x:v>52 Whakakake Street, Tauriko, Tauranga 3171</x:v>
      </x:c>
      <x:c r="D18" s="12" t="str">
        <x:v>Tauranga</x:v>
      </x:c>
      <x:c r="E18" s="12" t="str">
        <x:v>Bay of Plenty</x:v>
      </x:c>
      <x:c r="F18" s="12" t="str">
        <x:v>0800 229 452</x:v>
      </x:c>
      <x:c r="G18" s="12" t="str">
        <x:v>Not publicly verified</x:v>
      </x:c>
      <x:c r="H18" s="12" t="str">
        <x:v>Not publicly verified</x:v>
      </x:c>
      <x:c r="I18" s="12" t="str">
        <x:v>Not publicly verified</x:v>
      </x:c>
      <x:c r="J18" s="12" t="str">
        <x:v>Not publicly verified</x:v>
      </x:c>
      <x:c r="K18" s="14" t="n">
        <x:v>4.8</x:v>
      </x:c>
      <x:c r="L18" s="16" t="n">
        <x:v>17</x:v>
      </x:c>
      <x:c r="M18" s="12" t="str">
        <x:v>Residential &amp; Commercial</x:v>
      </x:c>
      <x:c r="N18" s="12" t="str">
        <x:v>Unclear</x:v>
      </x:c>
      <x:c r="O18" s="12" t="str">
        <x:v>Unclear</x:v>
      </x:c>
      <x:c r="P18" s="12" t="str">
        <x:v>Unclear</x:v>
      </x:c>
      <x:c r="Q18" s="12" t="str">
        <x:v>Unclear</x:v>
      </x:c>
      <x:c r="R18" s="12" t="str">
        <x:v>Unclear</x:v>
      </x:c>
      <x:c r="S18" s="12" t="str">
        <x:v>Unclear</x:v>
      </x:c>
      <x:c r="T18" s="12" t="str">
        <x:v>Yes</x:v>
      </x:c>
      <x:c r="U18" s="12" t="n">
        <x:f>COUNTIF(N18:T18,"Yes")</x:f>
        <x:v>1</x:v>
      </x:c>
      <x:c r="V18" s="12" t="n">
        <x:f>COUNTIF(H18:J18,"&lt;&gt;Not publicly verified")</x:f>
        <x:v>0</x:v>
      </x:c>
      <x:c r="W18" s="12" t="str">
        <x:v>B</x:v>
      </x:c>
      <x:c r="X18" s="12" t="str">
        <x:v>Medium</x:v>
      </x:c>
      <x:c r="Y18" s="12" t="str">
        <x:v>Regional glazier</x:v>
      </x:c>
      <x:c r="Z18" s="12" t="str">
        <x:v>Bay of Plenty</x:v>
      </x:c>
      <x:c r="AA18" s="12" t="str">
        <x:v>Relevant regional glazing business; specialist overlap needs verification.</x:v>
      </x:c>
      <x:c r="AB18" s="12" t="str">
        <x:v>Verify services and social presence before recurring monitoring.</x:v>
      </x:c>
      <x:c r="AC18" s="12" t="str">
        <x:v>https://www.google.com/maps/search/?api=1&amp;query=Bay+Glass+and+Glazing+Tauranga</x:v>
      </x:c>
      <x:c r="AD18" s="12" t="str">
        <x:v>Not publicly verified</x:v>
      </x:c>
      <x:c r="AE18" s="18" t="n">
        <x:v>46255</x:v>
      </x:c>
    </x:row>
    <x:row r="19">
      <x:c r="A19" s="12" t="str">
        <x:v>Papamoa Glass Limited T/A Modern Glazing</x:v>
      </x:c>
      <x:c r="B19" s="12" t="str">
        <x:v>Not publicly verified</x:v>
      </x:c>
      <x:c r="C19" s="12" t="str">
        <x:v>Unit C/86 Kennedy Road, Pyes Pa, Tauranga 3112</x:v>
      </x:c>
      <x:c r="D19" s="12" t="str">
        <x:v>Tauranga</x:v>
      </x:c>
      <x:c r="E19" s="12" t="str">
        <x:v>Bay of Plenty</x:v>
      </x:c>
      <x:c r="F19" s="12" t="str">
        <x:v>022 092 7814</x:v>
      </x:c>
      <x:c r="G19" s="12" t="str">
        <x:v>Not publicly verified</x:v>
      </x:c>
      <x:c r="H19" s="12" t="str">
        <x:v>Not publicly verified</x:v>
      </x:c>
      <x:c r="I19" s="12" t="str">
        <x:v>Not publicly verified</x:v>
      </x:c>
      <x:c r="J19" s="12" t="str">
        <x:v>Not publicly verified</x:v>
      </x:c>
      <x:c r="K19" s="14"/>
      <x:c r="L19" s="16" t="n">
        <x:v>0</x:v>
      </x:c>
      <x:c r="M19" s="12" t="str">
        <x:v>Residential &amp; Commercial</x:v>
      </x:c>
      <x:c r="N19" s="12" t="str">
        <x:v>Unclear</x:v>
      </x:c>
      <x:c r="O19" s="12" t="str">
        <x:v>Unclear</x:v>
      </x:c>
      <x:c r="P19" s="12" t="str">
        <x:v>Unclear</x:v>
      </x:c>
      <x:c r="Q19" s="12" t="str">
        <x:v>Unclear</x:v>
      </x:c>
      <x:c r="R19" s="12" t="str">
        <x:v>Unclear</x:v>
      </x:c>
      <x:c r="S19" s="12" t="str">
        <x:v>Unclear</x:v>
      </x:c>
      <x:c r="T19" s="12" t="str">
        <x:v>Yes</x:v>
      </x:c>
      <x:c r="U19" s="12" t="n">
        <x:f>COUNTIF(N19:T19,"Yes")</x:f>
        <x:v>1</x:v>
      </x:c>
      <x:c r="V19" s="12" t="n">
        <x:f>COUNTIF(H19:J19,"&lt;&gt;Not publicly verified")</x:f>
        <x:v>0</x:v>
      </x:c>
      <x:c r="W19" s="12" t="str">
        <x:v>B</x:v>
      </x:c>
      <x:c r="X19" s="12" t="str">
        <x:v>Medium</x:v>
      </x:c>
      <x:c r="Y19" s="12" t="str">
        <x:v>Regional glazier</x:v>
      </x:c>
      <x:c r="Z19" s="12" t="str">
        <x:v>Bay of Plenty</x:v>
      </x:c>
      <x:c r="AA19" s="12" t="str">
        <x:v>Regional candidate; public digital footprint needs enrichment.</x:v>
      </x:c>
      <x:c r="AB19" s="12" t="str">
        <x:v>Potential gap analysis: compare how easily a prospect can discover services/contact details.</x:v>
      </x:c>
      <x:c r="AC19" s="12" t="str">
        <x:v>https://www.google.com/maps/search/?api=1&amp;query=Papamoa+Glass+Modern+Glazing</x:v>
      </x:c>
      <x:c r="AD19" s="12" t="str">
        <x:v>Not publicly verified</x:v>
      </x:c>
      <x:c r="AE19" s="18" t="n">
        <x:v>46255</x:v>
      </x:c>
    </x:row>
    <x:row r="20">
      <x:c r="A20" s="12" t="str">
        <x:v>Tauranga Balustrades, Gates and Fences</x:v>
      </x:c>
      <x:c r="B20" s="12" t="str">
        <x:v>Not publicly verified</x:v>
      </x:c>
      <x:c r="C20" s="12" t="str">
        <x:v>HomePlus Office, 135 Totara Street, Mount Maunganui 3116</x:v>
      </x:c>
      <x:c r="D20" s="12" t="str">
        <x:v>Mount Maunganui</x:v>
      </x:c>
      <x:c r="E20" s="12" t="str">
        <x:v>Bay of Plenty</x:v>
      </x:c>
      <x:c r="F20" s="12" t="str">
        <x:v>07 579 5455</x:v>
      </x:c>
      <x:c r="G20" s="12" t="str">
        <x:v>Not publicly verified</x:v>
      </x:c>
      <x:c r="H20" s="12" t="str">
        <x:v>Not publicly verified</x:v>
      </x:c>
      <x:c r="I20" s="12" t="str">
        <x:v>Not publicly verified</x:v>
      </x:c>
      <x:c r="J20" s="12" t="str">
        <x:v>Not publicly verified</x:v>
      </x:c>
      <x:c r="K20" s="14" t="n">
        <x:v>4.9</x:v>
      </x:c>
      <x:c r="L20" s="16" t="n">
        <x:v>14</x:v>
      </x:c>
      <x:c r="M20" s="12" t="str">
        <x:v>Residential</x:v>
      </x:c>
      <x:c r="N20" s="12" t="str">
        <x:v>Yes</x:v>
      </x:c>
      <x:c r="O20" s="12" t="str">
        <x:v>Yes</x:v>
      </x:c>
      <x:c r="P20" s="12" t="str">
        <x:v>No</x:v>
      </x:c>
      <x:c r="Q20" s="12" t="str">
        <x:v>No</x:v>
      </x:c>
      <x:c r="R20" s="12" t="str">
        <x:v>No</x:v>
      </x:c>
      <x:c r="S20" s="12" t="str">
        <x:v>No</x:v>
      </x:c>
      <x:c r="T20" s="12" t="str">
        <x:v>No</x:v>
      </x:c>
      <x:c r="U20" s="12" t="n">
        <x:f>COUNTIF(N20:T20,"Yes")</x:f>
        <x:v>2</x:v>
      </x:c>
      <x:c r="V20" s="12" t="n">
        <x:f>COUNTIF(H20:J20,"&lt;&gt;Not publicly verified")</x:f>
        <x:v>0</x:v>
      </x:c>
      <x:c r="W20" s="12" t="str">
        <x:v>B</x:v>
      </x:c>
      <x:c r="X20" s="12" t="str">
        <x:v>Medium</x:v>
      </x:c>
      <x:c r="Y20" s="12" t="str">
        <x:v>Balustrade/fencing specialist</x:v>
      </x:c>
      <x:c r="Z20" s="12" t="str">
        <x:v>Bay of Plenty</x:v>
      </x:c>
      <x:c r="AA20" s="12" t="str">
        <x:v>Strong keyword overlap for balustrades/gates/fencing rather than full glazing.</x:v>
      </x:c>
      <x:c r="AB20" s="12" t="str">
        <x:v>Monitor outdoor-living offer structure, gate/pool bundles and local project content.</x:v>
      </x:c>
      <x:c r="AC20" s="12" t="str">
        <x:v>https://www.google.com/maps/search/?api=1&amp;query=Tauranga+Balustrades+Gates+and+Fences</x:v>
      </x:c>
      <x:c r="AD20" s="12" t="str">
        <x:v>Not publicly verified</x:v>
      </x:c>
      <x:c r="AE20" s="18" t="n">
        <x:v>46255</x:v>
      </x:c>
    </x:row>
    <x:row r="21">
      <x:c r="A21" s="12" t="str">
        <x:v>Wellington Glass &amp; Mirror</x:v>
      </x:c>
      <x:c r="B21" s="12" t="str">
        <x:v>https://wellingtonglass.co.nz/</x:v>
      </x:c>
      <x:c r="C21" s="12" t="str">
        <x:v>Birchville Park Unit 7/489 Hutt Road, Alicetown, Lower Hutt 5010</x:v>
      </x:c>
      <x:c r="D21" s="12" t="str">
        <x:v>Lower Hutt</x:v>
      </x:c>
      <x:c r="E21" s="12" t="str">
        <x:v>Wellington</x:v>
      </x:c>
      <x:c r="F21" s="12" t="str">
        <x:v>04 389 5555 / 0800 GLASS 4 U</x:v>
      </x:c>
      <x:c r="G21" s="12" t="str">
        <x:v>info@wellingtonglass.co.nz</x:v>
      </x:c>
      <x:c r="H21" s="12" t="str">
        <x:v>https://www.facebook.com/wgtnglass</x:v>
      </x:c>
      <x:c r="I21" s="12" t="str">
        <x:v>https://www.instagram.com/wgtnglass/</x:v>
      </x:c>
      <x:c r="J21" s="12" t="str">
        <x:v>https://www.linkedin.com/company/wellingtonglassandmirror/</x:v>
      </x:c>
      <x:c r="K21" s="14" t="n">
        <x:v>4.9</x:v>
      </x:c>
      <x:c r="L21" s="16" t="n">
        <x:v>356</x:v>
      </x:c>
      <x:c r="M21" s="12" t="str">
        <x:v>Residential &amp; Light Commercial</x:v>
      </x:c>
      <x:c r="N21" s="12" t="str">
        <x:v>Yes</x:v>
      </x:c>
      <x:c r="O21" s="12" t="str">
        <x:v>Yes</x:v>
      </x:c>
      <x:c r="P21" s="12" t="str">
        <x:v>Yes</x:v>
      </x:c>
      <x:c r="Q21" s="12" t="str">
        <x:v>Yes</x:v>
      </x:c>
      <x:c r="R21" s="12" t="str">
        <x:v>Yes</x:v>
      </x:c>
      <x:c r="S21" s="12" t="str">
        <x:v>Yes</x:v>
      </x:c>
      <x:c r="T21" s="12" t="str">
        <x:v>Yes</x:v>
      </x:c>
      <x:c r="U21" s="12" t="n">
        <x:f>COUNTIF(N21:T21,"Yes")</x:f>
        <x:v>7</x:v>
      </x:c>
      <x:c r="V21" s="12" t="n">
        <x:f>COUNTIF(H21:J21,"&lt;&gt;Not publicly verified")</x:f>
        <x:v>3</x:v>
      </x:c>
      <x:c r="W21" s="12" t="str">
        <x:v>A+</x:v>
      </x:c>
      <x:c r="X21" s="12" t="str">
        <x:v>High</x:v>
      </x:c>
      <x:c r="Y21" s="12" t="str">
        <x:v>Direct full-service competitor</x:v>
      </x:c>
      <x:c r="Z21" s="12" t="str">
        <x:v>Wellington, Hutt Valley, Porirua, Kapiti</x:v>
      </x:c>
      <x:c r="AA21" s="12" t="str">
        <x:v>Exceptional review volume; frequent 2026 blog publishing; referral/payment offers; broad local service pages and active socials.</x:v>
      </x:c>
      <x:c r="AB21" s="12" t="str">
        <x:v>Priority benchmark for content cadence, review acquisition, referral programs, financing/payment messaging and SEO freshness.</x:v>
      </x:c>
      <x:c r="AC21" s="12" t="str">
        <x:v>https://wellingtonglass.co.nz/</x:v>
      </x:c>
      <x:c r="AD21" s="12" t="str">
        <x:v>https://www.linkedin.com/company/wellingtonglassandmirror/</x:v>
      </x:c>
      <x:c r="AE21" s="18" t="n">
        <x:v>46255</x:v>
      </x:c>
    </x:row>
    <x:row r="22">
      <x:c r="A22" s="12" t="str">
        <x:v>Glass Group Limited</x:v>
      </x:c>
      <x:c r="B22" s="12" t="str">
        <x:v>https://www.glassgroup.co.nz/</x:v>
      </x:c>
      <x:c r="C22" s="12" t="str">
        <x:v>Unit 1/33 Pito-One Road, Korokoro, Lower Hutt 5012</x:v>
      </x:c>
      <x:c r="D22" s="12" t="str">
        <x:v>Lower Hutt</x:v>
      </x:c>
      <x:c r="E22" s="12" t="str">
        <x:v>Wellington / Taranaki / Otago</x:v>
      </x:c>
      <x:c r="F22" s="12" t="str">
        <x:v>0800 040 010</x:v>
      </x:c>
      <x:c r="G22" s="12" t="str">
        <x:v>Admin@glassgroup.co.nz</x:v>
      </x:c>
      <x:c r="H22" s="12" t="str">
        <x:v>https://www.facebook.com/glassgroup03</x:v>
      </x:c>
      <x:c r="I22" s="12" t="str">
        <x:v>https://www.instagram.com/glassgroupltd/</x:v>
      </x:c>
      <x:c r="J22" s="12" t="str">
        <x:v>https://www.linkedin.com/company/glass-group-limited/</x:v>
      </x:c>
      <x:c r="K22" s="14" t="n">
        <x:v>4.9</x:v>
      </x:c>
      <x:c r="L22" s="16" t="n">
        <x:v>16</x:v>
      </x:c>
      <x:c r="M22" s="12" t="str">
        <x:v>Residential &amp; Commercial</x:v>
      </x:c>
      <x:c r="N22" s="12" t="str">
        <x:v>Yes</x:v>
      </x:c>
      <x:c r="O22" s="12" t="str">
        <x:v>Yes</x:v>
      </x:c>
      <x:c r="P22" s="12" t="str">
        <x:v>Yes</x:v>
      </x:c>
      <x:c r="Q22" s="12" t="str">
        <x:v>Yes</x:v>
      </x:c>
      <x:c r="R22" s="12" t="str">
        <x:v>Unclear</x:v>
      </x:c>
      <x:c r="S22" s="12" t="str">
        <x:v>Unclear</x:v>
      </x:c>
      <x:c r="T22" s="12" t="str">
        <x:v>Yes</x:v>
      </x:c>
      <x:c r="U22" s="12" t="n">
        <x:f>COUNTIF(N22:T22,"Yes")</x:f>
        <x:v>5</x:v>
      </x:c>
      <x:c r="V22" s="12" t="n">
        <x:f>COUNTIF(H22:J22,"&lt;&gt;Not publicly verified")</x:f>
        <x:v>3</x:v>
      </x:c>
      <x:c r="W22" s="12" t="str">
        <x:v>A+</x:v>
      </x:c>
      <x:c r="X22" s="12" t="str">
        <x:v>High</x:v>
      </x:c>
      <x:c r="Y22" s="12" t="str">
        <x:v>Direct multi-region commercial/full-service competitor</x:v>
      </x:c>
      <x:c r="Z22" s="12" t="str">
        <x:v>Lower North Island + Taranaki + Otago</x:v>
      </x:c>
      <x:c r="AA22" s="12" t="str">
        <x:v>50+ staff claimed, 10k+ projects, in-house engineering/design, multi-region offices and strong commercial credentials.</x:v>
      </x:c>
      <x:c r="AB22" s="12" t="str">
        <x:v>Benchmark scale messaging, commercial case studies, engineering/specifier content, regional expansion and B2B credibility.</x:v>
      </x:c>
      <x:c r="AC22" s="12" t="str">
        <x:v>https://www.glassgroup.co.nz/</x:v>
      </x:c>
      <x:c r="AD22" s="12" t="str">
        <x:v>https://www.linkedin.com/company/glass-group-limited/</x:v>
      </x:c>
      <x:c r="AE22" s="18" t="n">
        <x:v>46255</x:v>
      </x:c>
    </x:row>
    <x:row r="23">
      <x:c r="A23" s="12" t="str">
        <x:v>Kelly Glass &amp; Mirror</x:v>
      </x:c>
      <x:c r="B23" s="12" t="str">
        <x:v>Not publicly verified</x:v>
      </x:c>
      <x:c r="C23" s="12" t="str">
        <x:v>13 Arthur Street, Te Aro, Wellington 6011</x:v>
      </x:c>
      <x:c r="D23" s="12" t="str">
        <x:v>Wellington</x:v>
      </x:c>
      <x:c r="E23" s="12" t="str">
        <x:v>Wellington</x:v>
      </x:c>
      <x:c r="F23" s="12" t="str">
        <x:v>04 384 5145</x:v>
      </x:c>
      <x:c r="G23" s="12" t="str">
        <x:v>Not publicly verified</x:v>
      </x:c>
      <x:c r="H23" s="12" t="str">
        <x:v>Not publicly verified</x:v>
      </x:c>
      <x:c r="I23" s="12" t="str">
        <x:v>Not publicly verified</x:v>
      </x:c>
      <x:c r="J23" s="12" t="str">
        <x:v>Not publicly verified</x:v>
      </x:c>
      <x:c r="K23" s="14" t="n">
        <x:v>4.9</x:v>
      </x:c>
      <x:c r="L23" s="16" t="n">
        <x:v>483</x:v>
      </x:c>
      <x:c r="M23" s="12" t="str">
        <x:v>Residential &amp; Commercial</x:v>
      </x:c>
      <x:c r="N23" s="12" t="str">
        <x:v>Unclear</x:v>
      </x:c>
      <x:c r="O23" s="12" t="str">
        <x:v>Unclear</x:v>
      </x:c>
      <x:c r="P23" s="12" t="str">
        <x:v>Unclear</x:v>
      </x:c>
      <x:c r="Q23" s="12" t="str">
        <x:v>Unclear</x:v>
      </x:c>
      <x:c r="R23" s="12" t="str">
        <x:v>Yes</x:v>
      </x:c>
      <x:c r="S23" s="12" t="str">
        <x:v>Unclear</x:v>
      </x:c>
      <x:c r="T23" s="12" t="str">
        <x:v>Yes</x:v>
      </x:c>
      <x:c r="U23" s="12" t="n">
        <x:f>COUNTIF(N23:T23,"Yes")</x:f>
        <x:v>2</x:v>
      </x:c>
      <x:c r="V23" s="12" t="n">
        <x:f>COUNTIF(H23:J23,"&lt;&gt;Not publicly verified")</x:f>
        <x:v>0</x:v>
      </x:c>
      <x:c r="W23" s="12" t="str">
        <x:v>B</x:v>
      </x:c>
      <x:c r="X23" s="12" t="str">
        <x:v>Medium</x:v>
      </x:c>
      <x:c r="Y23" s="12" t="str">
        <x:v>Regional glass &amp; mirror competitor</x:v>
      </x:c>
      <x:c r="Z23" s="12" t="str">
        <x:v>Wellington</x:v>
      </x:c>
      <x:c r="AA23" s="12" t="str">
        <x:v>One of the strongest Google review footprints in the candidate set.</x:v>
      </x:c>
      <x:c r="AB23" s="12" t="str">
        <x:v>Study review collection, customer-service reputation and branded local search visibility.</x:v>
      </x:c>
      <x:c r="AC23" s="12" t="str">
        <x:v>https://www.google.com/maps/search/?api=1&amp;query=Kelly+Glass+and+Mirror+Wellington</x:v>
      </x:c>
      <x:c r="AD23" s="12" t="str">
        <x:v>Not publicly verified</x:v>
      </x:c>
      <x:c r="AE23" s="18" t="n">
        <x:v>46255</x:v>
      </x:c>
    </x:row>
    <x:row r="24">
      <x:c r="A24" s="12" t="str">
        <x:v>Designer Glass Ltd</x:v>
      </x:c>
      <x:c r="B24" s="12" t="str">
        <x:v>Not publicly verified</x:v>
      </x:c>
      <x:c r="C24" s="12" t="str">
        <x:v>4/3 Kowhai Street, Eastbourne, Lower Hutt 5013</x:v>
      </x:c>
      <x:c r="D24" s="12" t="str">
        <x:v>Lower Hutt</x:v>
      </x:c>
      <x:c r="E24" s="12" t="str">
        <x:v>Wellington</x:v>
      </x:c>
      <x:c r="F24" s="12" t="str">
        <x:v>022 630 3255</x:v>
      </x:c>
      <x:c r="G24" s="12" t="str">
        <x:v>Not publicly verified</x:v>
      </x:c>
      <x:c r="H24" s="12" t="str">
        <x:v>Not publicly verified</x:v>
      </x:c>
      <x:c r="I24" s="12" t="str">
        <x:v>Not publicly verified</x:v>
      </x:c>
      <x:c r="J24" s="12" t="str">
        <x:v>Not publicly verified</x:v>
      </x:c>
      <x:c r="K24" s="14" t="n">
        <x:v>5</x:v>
      </x:c>
      <x:c r="L24" s="16" t="n">
        <x:v>25</x:v>
      </x:c>
      <x:c r="M24" s="12" t="str">
        <x:v>Residential &amp; Commercial</x:v>
      </x:c>
      <x:c r="N24" s="12" t="str">
        <x:v>Unclear</x:v>
      </x:c>
      <x:c r="O24" s="12" t="str">
        <x:v>Unclear</x:v>
      </x:c>
      <x:c r="P24" s="12" t="str">
        <x:v>Unclear</x:v>
      </x:c>
      <x:c r="Q24" s="12" t="str">
        <x:v>Unclear</x:v>
      </x:c>
      <x:c r="R24" s="12" t="str">
        <x:v>Unclear</x:v>
      </x:c>
      <x:c r="S24" s="12" t="str">
        <x:v>Unclear</x:v>
      </x:c>
      <x:c r="T24" s="12" t="str">
        <x:v>Yes</x:v>
      </x:c>
      <x:c r="U24" s="12" t="n">
        <x:f>COUNTIF(N24:T24,"Yes")</x:f>
        <x:v>1</x:v>
      </x:c>
      <x:c r="V24" s="12" t="n">
        <x:f>COUNTIF(H24:J24,"&lt;&gt;Not publicly verified")</x:f>
        <x:v>0</x:v>
      </x:c>
      <x:c r="W24" s="12" t="str">
        <x:v>B</x:v>
      </x:c>
      <x:c r="X24" s="12" t="str">
        <x:v>Medium</x:v>
      </x:c>
      <x:c r="Y24" s="12" t="str">
        <x:v>Regional custom glass competitor</x:v>
      </x:c>
      <x:c r="Z24" s="12" t="str">
        <x:v>Wellington</x:v>
      </x:c>
      <x:c r="AA24" s="12" t="str">
        <x:v>Perfect rating with modest review volume; service mix needs verification.</x:v>
      </x:c>
      <x:c r="AB24" s="12" t="str">
        <x:v>Verify specialist products; monitor if their custom-design positioning overlaps premium Royal Glass work.</x:v>
      </x:c>
      <x:c r="AC24" s="12" t="str">
        <x:v>https://www.google.com/maps/search/?api=1&amp;query=Designer+Glass+Ltd+Eastbourne</x:v>
      </x:c>
      <x:c r="AD24" s="12" t="str">
        <x:v>Not publicly verified</x:v>
      </x:c>
      <x:c r="AE24" s="18" t="n">
        <x:v>46255</x:v>
      </x:c>
    </x:row>
    <x:row r="25">
      <x:c r="A25" s="12" t="str">
        <x:v>Master Glaziers</x:v>
      </x:c>
      <x:c r="B25" s="12" t="str">
        <x:v>Not publicly verified</x:v>
      </x:c>
      <x:c r="C25" s="12" t="str">
        <x:v>2/20 Port Road, Seaview, Lower Hutt 5010</x:v>
      </x:c>
      <x:c r="D25" s="12" t="str">
        <x:v>Lower Hutt</x:v>
      </x:c>
      <x:c r="E25" s="12" t="str">
        <x:v>Wellington</x:v>
      </x:c>
      <x:c r="F25" s="12" t="str">
        <x:v>0800 221 331</x:v>
      </x:c>
      <x:c r="G25" s="12" t="str">
        <x:v>Not publicly verified</x:v>
      </x:c>
      <x:c r="H25" s="12" t="str">
        <x:v>Not publicly verified</x:v>
      </x:c>
      <x:c r="I25" s="12" t="str">
        <x:v>Not publicly verified</x:v>
      </x:c>
      <x:c r="J25" s="12" t="str">
        <x:v>Not publicly verified</x:v>
      </x:c>
      <x:c r="K25" s="14" t="n">
        <x:v>4.7</x:v>
      </x:c>
      <x:c r="L25" s="16" t="n">
        <x:v>103</x:v>
      </x:c>
      <x:c r="M25" s="12" t="str">
        <x:v>Residential &amp; Commercial</x:v>
      </x:c>
      <x:c r="N25" s="12" t="str">
        <x:v>Unclear</x:v>
      </x:c>
      <x:c r="O25" s="12" t="str">
        <x:v>Unclear</x:v>
      </x:c>
      <x:c r="P25" s="12" t="str">
        <x:v>Unclear</x:v>
      </x:c>
      <x:c r="Q25" s="12" t="str">
        <x:v>Unclear</x:v>
      </x:c>
      <x:c r="R25" s="12" t="str">
        <x:v>Unclear</x:v>
      </x:c>
      <x:c r="S25" s="12" t="str">
        <x:v>Unclear</x:v>
      </x:c>
      <x:c r="T25" s="12" t="str">
        <x:v>Yes</x:v>
      </x:c>
      <x:c r="U25" s="12" t="n">
        <x:f>COUNTIF(N25:T25,"Yes")</x:f>
        <x:v>1</x:v>
      </x:c>
      <x:c r="V25" s="12" t="n">
        <x:f>COUNTIF(H25:J25,"&lt;&gt;Not publicly verified")</x:f>
        <x:v>0</x:v>
      </x:c>
      <x:c r="W25" s="12" t="str">
        <x:v>B</x:v>
      </x:c>
      <x:c r="X25" s="12" t="str">
        <x:v>Medium</x:v>
      </x:c>
      <x:c r="Y25" s="12" t="str">
        <x:v>Regional glazier</x:v>
      </x:c>
      <x:c r="Z25" s="12" t="str">
        <x:v>Wellington</x:v>
      </x:c>
      <x:c r="AA25" s="12" t="str">
        <x:v>Strong local review base and generic glazing visibility.</x:v>
      </x:c>
      <x:c r="AB25" s="12" t="str">
        <x:v>Benchmark local search/review strength and response proposition.</x:v>
      </x:c>
      <x:c r="AC25" s="12" t="str">
        <x:v>https://www.google.com/maps/search/?api=1&amp;query=Master+Glaziers+Lower+Hutt</x:v>
      </x:c>
      <x:c r="AD25" s="12" t="str">
        <x:v>Not publicly verified</x:v>
      </x:c>
      <x:c r="AE25" s="18" t="n">
        <x:v>46255</x:v>
      </x:c>
    </x:row>
    <x:row r="26">
      <x:c r="A26" s="12" t="str">
        <x:v>Mike's Glass Ltd</x:v>
      </x:c>
      <x:c r="B26" s="12" t="str">
        <x:v>Not publicly verified</x:v>
      </x:c>
      <x:c r="C26" s="12" t="str">
        <x:v>1 Makaro Street, Elsdon, Porirua 5022</x:v>
      </x:c>
      <x:c r="D26" s="12" t="str">
        <x:v>Porirua</x:v>
      </x:c>
      <x:c r="E26" s="12" t="str">
        <x:v>Wellington</x:v>
      </x:c>
      <x:c r="F26" s="12" t="str">
        <x:v>04 562 7383</x:v>
      </x:c>
      <x:c r="G26" s="12" t="str">
        <x:v>Not publicly verified</x:v>
      </x:c>
      <x:c r="H26" s="12" t="str">
        <x:v>Not publicly verified</x:v>
      </x:c>
      <x:c r="I26" s="12" t="str">
        <x:v>Not publicly verified</x:v>
      </x:c>
      <x:c r="J26" s="12" t="str">
        <x:v>Not publicly verified</x:v>
      </x:c>
      <x:c r="K26" s="14" t="n">
        <x:v>4.5</x:v>
      </x:c>
      <x:c r="L26" s="16" t="n">
        <x:v>53</x:v>
      </x:c>
      <x:c r="M26" s="12" t="str">
        <x:v>Residential &amp; Commercial</x:v>
      </x:c>
      <x:c r="N26" s="12" t="str">
        <x:v>Unclear</x:v>
      </x:c>
      <x:c r="O26" s="12" t="str">
        <x:v>Unclear</x:v>
      </x:c>
      <x:c r="P26" s="12" t="str">
        <x:v>Unclear</x:v>
      </x:c>
      <x:c r="Q26" s="12" t="str">
        <x:v>Unclear</x:v>
      </x:c>
      <x:c r="R26" s="12" t="str">
        <x:v>Unclear</x:v>
      </x:c>
      <x:c r="S26" s="12" t="str">
        <x:v>Unclear</x:v>
      </x:c>
      <x:c r="T26" s="12" t="str">
        <x:v>Yes</x:v>
      </x:c>
      <x:c r="U26" s="12" t="n">
        <x:f>COUNTIF(N26:T26,"Yes")</x:f>
        <x:v>1</x:v>
      </x:c>
      <x:c r="V26" s="12" t="n">
        <x:f>COUNTIF(H26:J26,"&lt;&gt;Not publicly verified")</x:f>
        <x:v>0</x:v>
      </x:c>
      <x:c r="W26" s="12" t="str">
        <x:v>C</x:v>
      </x:c>
      <x:c r="X26" s="12" t="str">
        <x:v>Low</x:v>
      </x:c>
      <x:c r="Y26" s="12" t="str">
        <x:v>Regional glazier</x:v>
      </x:c>
      <x:c r="Z26" s="12" t="str">
        <x:v>Porirua / Wellington</x:v>
      </x:c>
      <x:c r="AA26" s="12" t="str">
        <x:v>General local glazing presence.</x:v>
      </x:c>
      <x:c r="AB26" s="12" t="str">
        <x:v>Low-priority regional SEO benchmark unless specialist service overlap is confirmed.</x:v>
      </x:c>
      <x:c r="AC26" s="12" t="str">
        <x:v>https://www.google.com/maps/search/?api=1&amp;query=Mikes+Glass+Porirua</x:v>
      </x:c>
      <x:c r="AD26" s="12" t="str">
        <x:v>Not publicly verified</x:v>
      </x:c>
      <x:c r="AE26" s="18" t="n">
        <x:v>46255</x:v>
      </x:c>
    </x:row>
    <x:row r="27">
      <x:c r="A27" s="12" t="str">
        <x:v>Supreme Balustrades</x:v>
      </x:c>
      <x:c r="B27" s="12" t="str">
        <x:v>https://supremebalustrades.co.nz/</x:v>
      </x:c>
      <x:c r="C27" s="12" t="str">
        <x:v>9 George Daniels Drive, Trentham, Upper Hutt 5018</x:v>
      </x:c>
      <x:c r="D27" s="12" t="str">
        <x:v>Upper Hutt</x:v>
      </x:c>
      <x:c r="E27" s="12" t="str">
        <x:v>Wellington</x:v>
      </x:c>
      <x:c r="F27" s="12" t="str">
        <x:v>04 939 3645</x:v>
      </x:c>
      <x:c r="G27" s="12" t="str">
        <x:v>residential@supremebalustrades.co.nz</x:v>
      </x:c>
      <x:c r="H27" s="12" t="str">
        <x:v>Not publicly verified</x:v>
      </x:c>
      <x:c r="I27" s="12" t="str">
        <x:v>Not publicly verified</x:v>
      </x:c>
      <x:c r="J27" s="12" t="str">
        <x:v>Not publicly verified</x:v>
      </x:c>
      <x:c r="K27" s="14" t="n">
        <x:v>5</x:v>
      </x:c>
      <x:c r="L27" s="16" t="n">
        <x:v>34</x:v>
      </x:c>
      <x:c r="M27" s="12" t="str">
        <x:v>Residential &amp; Commercial</x:v>
      </x:c>
      <x:c r="N27" s="12" t="str">
        <x:v>Yes</x:v>
      </x:c>
      <x:c r="O27" s="12" t="str">
        <x:v>Yes</x:v>
      </x:c>
      <x:c r="P27" s="12" t="str">
        <x:v>No</x:v>
      </x:c>
      <x:c r="Q27" s="12" t="str">
        <x:v>No</x:v>
      </x:c>
      <x:c r="R27" s="12" t="str">
        <x:v>No</x:v>
      </x:c>
      <x:c r="S27" s="12" t="str">
        <x:v>No</x:v>
      </x:c>
      <x:c r="T27" s="12" t="str">
        <x:v>No</x:v>
      </x:c>
      <x:c r="U27" s="12" t="n">
        <x:f>COUNTIF(N27:T27,"Yes")</x:f>
        <x:v>2</x:v>
      </x:c>
      <x:c r="V27" s="12" t="n">
        <x:f>COUNTIF(H27:J27,"&lt;&gt;Not publicly verified")</x:f>
        <x:v>0</x:v>
      </x:c>
      <x:c r="W27" s="12" t="str">
        <x:v>A</x:v>
      </x:c>
      <x:c r="X27" s="12" t="str">
        <x:v>High</x:v>
      </x:c>
      <x:c r="Y27" s="12" t="str">
        <x:v>Direct balustrade/pool specialist</x:v>
      </x:c>
      <x:c r="Z27" s="12" t="str">
        <x:v>Wellington</x:v>
      </x:c>
      <x:c r="AA27" s="12" t="str">
        <x:v>Specialist positioning around balustrades and outdoor systems with excellent rating.</x:v>
      </x:c>
      <x:c r="AB27" s="12" t="str">
        <x:v>Track specialist product messaging, outdoor-living bundles and quote/measure process.</x:v>
      </x:c>
      <x:c r="AC27" s="12" t="str">
        <x:v>https://supremebalustrades.co.nz/</x:v>
      </x:c>
      <x:c r="AD27" s="12" t="str">
        <x:v>https://www.google.com/maps/search/?api=1&amp;query=Supreme+Balustrades+Upper+Hutt</x:v>
      </x:c>
      <x:c r="AE27" s="18" t="n">
        <x:v>46255</x:v>
      </x:c>
    </x:row>
    <x:row r="28">
      <x:c r="A28" s="12" t="str">
        <x:v>NZ Frameless Glass</x:v>
      </x:c>
      <x:c r="B28" s="12" t="str">
        <x:v>https://www.nzfglass.co.nz/</x:v>
      </x:c>
      <x:c r="C28" s="12" t="str">
        <x:v>15 Kairua Road, Hornby, Christchurch 8025</x:v>
      </x:c>
      <x:c r="D28" s="12" t="str">
        <x:v>Christchurch</x:v>
      </x:c>
      <x:c r="E28" s="12" t="str">
        <x:v>Canterbury</x:v>
      </x:c>
      <x:c r="F28" s="12" t="str">
        <x:v>0800 333 545</x:v>
      </x:c>
      <x:c r="G28" s="12" t="str">
        <x:v>info@nzfglass.co.nz</x:v>
      </x:c>
      <x:c r="H28" s="12" t="str">
        <x:v>Not publicly verified</x:v>
      </x:c>
      <x:c r="I28" s="12" t="str">
        <x:v>Not publicly verified</x:v>
      </x:c>
      <x:c r="J28" s="12" t="str">
        <x:v>https://nz.linkedin.com/company/nz-frameless-glass-ltd</x:v>
      </x:c>
      <x:c r="K28" s="14" t="n">
        <x:v>4.2</x:v>
      </x:c>
      <x:c r="L28" s="16" t="n">
        <x:v>37</x:v>
      </x:c>
      <x:c r="M28" s="12" t="str">
        <x:v>Residential &amp; Commercial</x:v>
      </x:c>
      <x:c r="N28" s="12" t="str">
        <x:v>Yes</x:v>
      </x:c>
      <x:c r="O28" s="12" t="str">
        <x:v>Yes</x:v>
      </x:c>
      <x:c r="P28" s="12" t="str">
        <x:v>Yes</x:v>
      </x:c>
      <x:c r="Q28" s="12" t="str">
        <x:v>Yes</x:v>
      </x:c>
      <x:c r="R28" s="12" t="str">
        <x:v>Yes</x:v>
      </x:c>
      <x:c r="S28" s="12" t="str">
        <x:v>Yes</x:v>
      </x:c>
      <x:c r="T28" s="12" t="str">
        <x:v>Yes</x:v>
      </x:c>
      <x:c r="U28" s="12" t="n">
        <x:f>COUNTIF(N28:T28,"Yes")</x:f>
        <x:v>7</x:v>
      </x:c>
      <x:c r="V28" s="12" t="n">
        <x:f>COUNTIF(H28:J28,"&lt;&gt;Not publicly verified")</x:f>
        <x:v>1</x:v>
      </x:c>
      <x:c r="W28" s="12" t="str">
        <x:v>A+</x:v>
      </x:c>
      <x:c r="X28" s="12" t="str">
        <x:v>High</x:v>
      </x:c>
      <x:c r="Y28" s="12" t="str">
        <x:v>Direct frameless full-service competitor</x:v>
      </x:c>
      <x:c r="Z28" s="12" t="str">
        <x:v>South Island</x:v>
      </x:c>
      <x:c r="AA28" s="12" t="str">
        <x:v>Strong 'frameless glass' brand positioning covering balustrades, pool fencing and commercial fit-outs.</x:v>
      </x:c>
      <x:c r="AB28" s="12" t="str">
        <x:v>Priority South Island benchmark for category branding, frameless SEO, commercial fit-outs and service breadth.</x:v>
      </x:c>
      <x:c r="AC28" s="12" t="str">
        <x:v>https://www.nzfglass.co.nz/</x:v>
      </x:c>
      <x:c r="AD28" s="12" t="str">
        <x:v>https://nz.linkedin.com/company/nz-frameless-glass-ltd</x:v>
      </x:c>
      <x:c r="AE28" s="18" t="n">
        <x:v>46255</x:v>
      </x:c>
    </x:row>
    <x:row r="29">
      <x:c r="A29" s="12" t="str">
        <x:v>Gear Glass &amp; Glazing</x:v>
      </x:c>
      <x:c r="B29" s="12" t="str">
        <x:v>Not publicly verified</x:v>
      </x:c>
      <x:c r="C29" s="12" t="str">
        <x:v>3/5 Tanner Street, Woolston, Christchurch 8023</x:v>
      </x:c>
      <x:c r="D29" s="12" t="str">
        <x:v>Christchurch</x:v>
      </x:c>
      <x:c r="E29" s="12" t="str">
        <x:v>Canterbury</x:v>
      </x:c>
      <x:c r="F29" s="12" t="str">
        <x:v>027 434 2543</x:v>
      </x:c>
      <x:c r="G29" s="12" t="str">
        <x:v>Not publicly verified</x:v>
      </x:c>
      <x:c r="H29" s="12" t="str">
        <x:v>Not publicly verified</x:v>
      </x:c>
      <x:c r="I29" s="12" t="str">
        <x:v>Not publicly verified</x:v>
      </x:c>
      <x:c r="J29" s="12" t="str">
        <x:v>Not publicly verified</x:v>
      </x:c>
      <x:c r="K29" s="14" t="n">
        <x:v>4.8</x:v>
      </x:c>
      <x:c r="L29" s="16" t="n">
        <x:v>34</x:v>
      </x:c>
      <x:c r="M29" s="12" t="str">
        <x:v>Residential &amp; Commercial</x:v>
      </x:c>
      <x:c r="N29" s="12" t="str">
        <x:v>Unclear</x:v>
      </x:c>
      <x:c r="O29" s="12" t="str">
        <x:v>Unclear</x:v>
      </x:c>
      <x:c r="P29" s="12" t="str">
        <x:v>Unclear</x:v>
      </x:c>
      <x:c r="Q29" s="12" t="str">
        <x:v>Unclear</x:v>
      </x:c>
      <x:c r="R29" s="12" t="str">
        <x:v>Unclear</x:v>
      </x:c>
      <x:c r="S29" s="12" t="str">
        <x:v>Unclear</x:v>
      </x:c>
      <x:c r="T29" s="12" t="str">
        <x:v>Yes</x:v>
      </x:c>
      <x:c r="U29" s="12" t="n">
        <x:f>COUNTIF(N29:T29,"Yes")</x:f>
        <x:v>1</x:v>
      </x:c>
      <x:c r="V29" s="12" t="n">
        <x:f>COUNTIF(H29:J29,"&lt;&gt;Not publicly verified")</x:f>
        <x:v>0</x:v>
      </x:c>
      <x:c r="W29" s="12" t="str">
        <x:v>B</x:v>
      </x:c>
      <x:c r="X29" s="12" t="str">
        <x:v>Medium</x:v>
      </x:c>
      <x:c r="Y29" s="12" t="str">
        <x:v>Regional glazier</x:v>
      </x:c>
      <x:c r="Z29" s="12" t="str">
        <x:v>Canterbury</x:v>
      </x:c>
      <x:c r="AA29" s="12" t="str">
        <x:v>Strong rating; specialist-service overlap requires verification.</x:v>
      </x:c>
      <x:c r="AB29" s="12" t="str">
        <x:v>Verify product pages/socials before including in recurring competitor feed.</x:v>
      </x:c>
      <x:c r="AC29" s="12" t="str">
        <x:v>https://www.google.com/maps/search/?api=1&amp;query=Gear+Glass+and+Glazing+Christchurch</x:v>
      </x:c>
      <x:c r="AD29" s="12" t="str">
        <x:v>Not publicly verified</x:v>
      </x:c>
      <x:c r="AE29" s="18" t="n">
        <x:v>46255</x:v>
      </x:c>
    </x:row>
    <x:row r="30">
      <x:c r="A30" s="12" t="str">
        <x:v>Halswell Glass &amp; Glazing</x:v>
      </x:c>
      <x:c r="B30" s="12" t="str">
        <x:v>Not publicly verified</x:v>
      </x:c>
      <x:c r="C30" s="12" t="str">
        <x:v>Tyne Street, Addington, Christchurch 8011</x:v>
      </x:c>
      <x:c r="D30" s="12" t="str">
        <x:v>Christchurch</x:v>
      </x:c>
      <x:c r="E30" s="12" t="str">
        <x:v>Canterbury</x:v>
      </x:c>
      <x:c r="F30" s="12" t="str">
        <x:v>03 322 7999</x:v>
      </x:c>
      <x:c r="G30" s="12" t="str">
        <x:v>Not publicly verified</x:v>
      </x:c>
      <x:c r="H30" s="12" t="str">
        <x:v>Not publicly verified</x:v>
      </x:c>
      <x:c r="I30" s="12" t="str">
        <x:v>Not publicly verified</x:v>
      </x:c>
      <x:c r="J30" s="12" t="str">
        <x:v>Not publicly verified</x:v>
      </x:c>
      <x:c r="K30" s="14" t="n">
        <x:v>4.9</x:v>
      </x:c>
      <x:c r="L30" s="16" t="n">
        <x:v>130</x:v>
      </x:c>
      <x:c r="M30" s="12" t="str">
        <x:v>Residential &amp; Commercial</x:v>
      </x:c>
      <x:c r="N30" s="12" t="str">
        <x:v>Unclear</x:v>
      </x:c>
      <x:c r="O30" s="12" t="str">
        <x:v>Unclear</x:v>
      </x:c>
      <x:c r="P30" s="12" t="str">
        <x:v>Unclear</x:v>
      </x:c>
      <x:c r="Q30" s="12" t="str">
        <x:v>Unclear</x:v>
      </x:c>
      <x:c r="R30" s="12" t="str">
        <x:v>Unclear</x:v>
      </x:c>
      <x:c r="S30" s="12" t="str">
        <x:v>Unclear</x:v>
      </x:c>
      <x:c r="T30" s="12" t="str">
        <x:v>Yes</x:v>
      </x:c>
      <x:c r="U30" s="12" t="n">
        <x:f>COUNTIF(N30:T30,"Yes")</x:f>
        <x:v>1</x:v>
      </x:c>
      <x:c r="V30" s="12" t="n">
        <x:f>COUNTIF(H30:J30,"&lt;&gt;Not publicly verified")</x:f>
        <x:v>0</x:v>
      </x:c>
      <x:c r="W30" s="12" t="str">
        <x:v>B</x:v>
      </x:c>
      <x:c r="X30" s="12" t="str">
        <x:v>Medium</x:v>
      </x:c>
      <x:c r="Y30" s="12" t="str">
        <x:v>Regional glazier</x:v>
      </x:c>
      <x:c r="Z30" s="12" t="str">
        <x:v>Canterbury</x:v>
      </x:c>
      <x:c r="AA30" s="12" t="str">
        <x:v>Strong Google review authority in Christchurch.</x:v>
      </x:c>
      <x:c r="AB30" s="12" t="str">
        <x:v>Benchmark reviews/local SEO; verify whether balustrade/pool content warrants higher priority.</x:v>
      </x:c>
      <x:c r="AC30" s="12" t="str">
        <x:v>https://www.google.com/maps/search/?api=1&amp;query=Halswell+Glass+and+Glazing+Christchurch</x:v>
      </x:c>
      <x:c r="AD30" s="12" t="str">
        <x:v>Not publicly verified</x:v>
      </x:c>
      <x:c r="AE30" s="18" t="n">
        <x:v>46255</x:v>
      </x:c>
    </x:row>
    <x:row r="31">
      <x:c r="A31" s="12" t="str">
        <x:v>Sharp Glass</x:v>
      </x:c>
      <x:c r="B31" s="12" t="str">
        <x:v>Not publicly verified</x:v>
      </x:c>
      <x:c r="C31" s="12" t="str">
        <x:v>177 Wordsworth Street, Sydenham, Christchurch 8023</x:v>
      </x:c>
      <x:c r="D31" s="12" t="str">
        <x:v>Christchurch</x:v>
      </x:c>
      <x:c r="E31" s="12" t="str">
        <x:v>Canterbury</x:v>
      </x:c>
      <x:c r="F31" s="12" t="str">
        <x:v>03 366 3448</x:v>
      </x:c>
      <x:c r="G31" s="12" t="str">
        <x:v>Not publicly verified</x:v>
      </x:c>
      <x:c r="H31" s="12" t="str">
        <x:v>Not publicly verified</x:v>
      </x:c>
      <x:c r="I31" s="12" t="str">
        <x:v>Not publicly verified</x:v>
      </x:c>
      <x:c r="J31" s="12" t="str">
        <x:v>Not publicly verified</x:v>
      </x:c>
      <x:c r="K31" s="14" t="n">
        <x:v>4.9</x:v>
      </x:c>
      <x:c r="L31" s="16" t="n">
        <x:v>306</x:v>
      </x:c>
      <x:c r="M31" s="12" t="str">
        <x:v>Residential &amp; Commercial</x:v>
      </x:c>
      <x:c r="N31" s="12" t="str">
        <x:v>Unclear</x:v>
      </x:c>
      <x:c r="O31" s="12" t="str">
        <x:v>Unclear</x:v>
      </x:c>
      <x:c r="P31" s="12" t="str">
        <x:v>Unclear</x:v>
      </x:c>
      <x:c r="Q31" s="12" t="str">
        <x:v>Unclear</x:v>
      </x:c>
      <x:c r="R31" s="12" t="str">
        <x:v>Unclear</x:v>
      </x:c>
      <x:c r="S31" s="12" t="str">
        <x:v>Unclear</x:v>
      </x:c>
      <x:c r="T31" s="12" t="str">
        <x:v>Yes</x:v>
      </x:c>
      <x:c r="U31" s="12" t="n">
        <x:f>COUNTIF(N31:T31,"Yes")</x:f>
        <x:v>1</x:v>
      </x:c>
      <x:c r="V31" s="12" t="n">
        <x:f>COUNTIF(H31:J31,"&lt;&gt;Not publicly verified")</x:f>
        <x:v>0</x:v>
      </x:c>
      <x:c r="W31" s="12" t="str">
        <x:v>B</x:v>
      </x:c>
      <x:c r="X31" s="12" t="str">
        <x:v>Medium</x:v>
      </x:c>
      <x:c r="Y31" s="12" t="str">
        <x:v>Large regional glazier</x:v>
      </x:c>
      <x:c r="Z31" s="12" t="str">
        <x:v>Canterbury</x:v>
      </x:c>
      <x:c r="AA31" s="12" t="str">
        <x:v>Very high review volume and local brand authority.</x:v>
      </x:c>
      <x:c r="AB31" s="12" t="str">
        <x:v>Review acquisition and local brand trust are the main benchmark until product overlap is verified.</x:v>
      </x:c>
      <x:c r="AC31" s="12" t="str">
        <x:v>https://www.google.com/maps/search/?api=1&amp;query=Sharp+Glass+Christchurch</x:v>
      </x:c>
      <x:c r="AD31" s="12" t="str">
        <x:v>Not publicly verified</x:v>
      </x:c>
      <x:c r="AE31" s="18" t="n">
        <x:v>46255</x:v>
      </x:c>
    </x:row>
    <x:row r="32">
      <x:c r="A32" s="12" t="str">
        <x:v>Cranfield Glass Christchurch Ltd</x:v>
      </x:c>
      <x:c r="B32" s="12" t="str">
        <x:v>Not publicly verified</x:v>
      </x:c>
      <x:c r="C32" s="12" t="str">
        <x:v>39 Buchan Street, Sydenham, Christchurch 8023</x:v>
      </x:c>
      <x:c r="D32" s="12" t="str">
        <x:v>Christchurch</x:v>
      </x:c>
      <x:c r="E32" s="12" t="str">
        <x:v>Canterbury</x:v>
      </x:c>
      <x:c r="F32" s="12" t="str">
        <x:v>03 353 5550</x:v>
      </x:c>
      <x:c r="G32" s="12" t="str">
        <x:v>Not publicly verified</x:v>
      </x:c>
      <x:c r="H32" s="12" t="str">
        <x:v>Not publicly verified</x:v>
      </x:c>
      <x:c r="I32" s="12" t="str">
        <x:v>Not publicly verified</x:v>
      </x:c>
      <x:c r="J32" s="12" t="str">
        <x:v>Not publicly verified</x:v>
      </x:c>
      <x:c r="K32" s="14" t="n">
        <x:v>4.4</x:v>
      </x:c>
      <x:c r="L32" s="16" t="n">
        <x:v>38</x:v>
      </x:c>
      <x:c r="M32" s="12" t="str">
        <x:v>Residential &amp; Commercial</x:v>
      </x:c>
      <x:c r="N32" s="12" t="str">
        <x:v>Unclear</x:v>
      </x:c>
      <x:c r="O32" s="12" t="str">
        <x:v>Unclear</x:v>
      </x:c>
      <x:c r="P32" s="12" t="str">
        <x:v>Unclear</x:v>
      </x:c>
      <x:c r="Q32" s="12" t="str">
        <x:v>Unclear</x:v>
      </x:c>
      <x:c r="R32" s="12" t="str">
        <x:v>Unclear</x:v>
      </x:c>
      <x:c r="S32" s="12" t="str">
        <x:v>Unclear</x:v>
      </x:c>
      <x:c r="T32" s="12" t="str">
        <x:v>Yes</x:v>
      </x:c>
      <x:c r="U32" s="12" t="n">
        <x:f>COUNTIF(N32:T32,"Yes")</x:f>
        <x:v>1</x:v>
      </x:c>
      <x:c r="V32" s="12" t="n">
        <x:f>COUNTIF(H32:J32,"&lt;&gt;Not publicly verified")</x:f>
        <x:v>0</x:v>
      </x:c>
      <x:c r="W32" s="12" t="str">
        <x:v>B</x:v>
      </x:c>
      <x:c r="X32" s="12" t="str">
        <x:v>Medium</x:v>
      </x:c>
      <x:c r="Y32" s="12" t="str">
        <x:v>Regional glazier</x:v>
      </x:c>
      <x:c r="Z32" s="12" t="str">
        <x:v>Canterbury</x:v>
      </x:c>
      <x:c r="AA32" s="12" t="str">
        <x:v>Established regional glazing presence.</x:v>
      </x:c>
      <x:c r="AB32" s="12" t="str">
        <x:v>Verify specialist-service overlap and commercial positioning.</x:v>
      </x:c>
      <x:c r="AC32" s="12" t="str">
        <x:v>https://www.google.com/maps/search/?api=1&amp;query=Cranfield+Glass+Christchurch</x:v>
      </x:c>
      <x:c r="AD32" s="12" t="str">
        <x:v>Not publicly verified</x:v>
      </x:c>
      <x:c r="AE32" s="18" t="n">
        <x:v>46255</x:v>
      </x:c>
    </x:row>
    <x:row r="33">
      <x:c r="A33" s="12" t="str">
        <x:v>Empire Glass Ltd</x:v>
      </x:c>
      <x:c r="B33" s="12" t="str">
        <x:v>https://www.empireglass.co.nz/</x:v>
      </x:c>
      <x:c r="C33" s="12" t="str">
        <x:v>60 Newtown Street, Bromley, Christchurch 8062</x:v>
      </x:c>
      <x:c r="D33" s="12" t="str">
        <x:v>Christchurch</x:v>
      </x:c>
      <x:c r="E33" s="12" t="str">
        <x:v>Canterbury</x:v>
      </x:c>
      <x:c r="F33" s="12" t="str">
        <x:v>03 381 4490</x:v>
      </x:c>
      <x:c r="G33" s="12" t="str">
        <x:v>Not publicly verified</x:v>
      </x:c>
      <x:c r="H33" s="12" t="str">
        <x:v>Not publicly verified</x:v>
      </x:c>
      <x:c r="I33" s="12" t="str">
        <x:v>Not publicly verified</x:v>
      </x:c>
      <x:c r="J33" s="12" t="str">
        <x:v>Not publicly verified</x:v>
      </x:c>
      <x:c r="K33" s="14" t="n">
        <x:v>4.6</x:v>
      </x:c>
      <x:c r="L33" s="16" t="n">
        <x:v>23</x:v>
      </x:c>
      <x:c r="M33" s="12" t="str">
        <x:v>Residential &amp; Commercial</x:v>
      </x:c>
      <x:c r="N33" s="12" t="str">
        <x:v>Unclear</x:v>
      </x:c>
      <x:c r="O33" s="12" t="str">
        <x:v>Unclear</x:v>
      </x:c>
      <x:c r="P33" s="12" t="str">
        <x:v>Unclear</x:v>
      </x:c>
      <x:c r="Q33" s="12" t="str">
        <x:v>Unclear</x:v>
      </x:c>
      <x:c r="R33" s="12" t="str">
        <x:v>Unclear</x:v>
      </x:c>
      <x:c r="S33" s="12" t="str">
        <x:v>Unclear</x:v>
      </x:c>
      <x:c r="T33" s="12" t="str">
        <x:v>Yes</x:v>
      </x:c>
      <x:c r="U33" s="12" t="n">
        <x:f>COUNTIF(N33:T33,"Yes")</x:f>
        <x:v>1</x:v>
      </x:c>
      <x:c r="V33" s="12" t="n">
        <x:f>COUNTIF(H33:J33,"&lt;&gt;Not publicly verified")</x:f>
        <x:v>0</x:v>
      </x:c>
      <x:c r="W33" s="12" t="str">
        <x:v>B</x:v>
      </x:c>
      <x:c r="X33" s="12" t="str">
        <x:v>Medium</x:v>
      </x:c>
      <x:c r="Y33" s="12" t="str">
        <x:v>Regional full-service glazier</x:v>
      </x:c>
      <x:c r="Z33" s="12" t="str">
        <x:v>Canterbury</x:v>
      </x:c>
      <x:c r="AA33" s="12" t="str">
        <x:v>Broad general glazing business with established web presence.</x:v>
      </x:c>
      <x:c r="AB33" s="12" t="str">
        <x:v>Check commercial/residential segmentation and conversion flow.</x:v>
      </x:c>
      <x:c r="AC33" s="12" t="str">
        <x:v>https://www.empireglass.co.nz/</x:v>
      </x:c>
      <x:c r="AD33" s="12" t="str">
        <x:v>https://www.google.com/maps/search/?api=1&amp;query=Empire+Glass+Christchurch</x:v>
      </x:c>
      <x:c r="AE33" s="18" t="n">
        <x:v>46255</x:v>
      </x:c>
    </x:row>
    <x:row r="34">
      <x:c r="A34" s="12" t="str">
        <x:v>Canterbury Balustrade Limited</x:v>
      </x:c>
      <x:c r="B34" s="12" t="str">
        <x:v>Not publicly verified</x:v>
      </x:c>
      <x:c r="C34" s="12" t="str">
        <x:v>185A Wordsworth Street, Sydenham, Christchurch 8023</x:v>
      </x:c>
      <x:c r="D34" s="12" t="str">
        <x:v>Christchurch</x:v>
      </x:c>
      <x:c r="E34" s="12" t="str">
        <x:v>Canterbury</x:v>
      </x:c>
      <x:c r="F34" s="12" t="str">
        <x:v>03 366 5511</x:v>
      </x:c>
      <x:c r="G34" s="12" t="str">
        <x:v>Not publicly verified</x:v>
      </x:c>
      <x:c r="H34" s="12" t="str">
        <x:v>Not publicly verified</x:v>
      </x:c>
      <x:c r="I34" s="12" t="str">
        <x:v>Not publicly verified</x:v>
      </x:c>
      <x:c r="J34" s="12" t="str">
        <x:v>Not publicly verified</x:v>
      </x:c>
      <x:c r="K34" s="14" t="n">
        <x:v>5</x:v>
      </x:c>
      <x:c r="L34" s="16" t="n">
        <x:v>2</x:v>
      </x:c>
      <x:c r="M34" s="12" t="str">
        <x:v>Residential &amp; Commercial</x:v>
      </x:c>
      <x:c r="N34" s="12" t="str">
        <x:v>Yes</x:v>
      </x:c>
      <x:c r="O34" s="12" t="str">
        <x:v>Unclear</x:v>
      </x:c>
      <x:c r="P34" s="12" t="str">
        <x:v>No</x:v>
      </x:c>
      <x:c r="Q34" s="12" t="str">
        <x:v>No</x:v>
      </x:c>
      <x:c r="R34" s="12" t="str">
        <x:v>No</x:v>
      </x:c>
      <x:c r="S34" s="12" t="str">
        <x:v>No</x:v>
      </x:c>
      <x:c r="T34" s="12" t="str">
        <x:v>No</x:v>
      </x:c>
      <x:c r="U34" s="12" t="n">
        <x:f>COUNTIF(N34:T34,"Yes")</x:f>
        <x:v>1</x:v>
      </x:c>
      <x:c r="V34" s="12" t="n">
        <x:f>COUNTIF(H34:J34,"&lt;&gt;Not publicly verified")</x:f>
        <x:v>0</x:v>
      </x:c>
      <x:c r="W34" s="12" t="str">
        <x:v>A</x:v>
      </x:c>
      <x:c r="X34" s="12" t="str">
        <x:v>High</x:v>
      </x:c>
      <x:c r="Y34" s="12" t="str">
        <x:v>Direct balustrade specialist</x:v>
      </x:c>
      <x:c r="Z34" s="12" t="str">
        <x:v>Canterbury</x:v>
      </x:c>
      <x:c r="AA34" s="12" t="str">
        <x:v>Exact keyword/category overlap despite small review footprint.</x:v>
      </x:c>
      <x:c r="AB34" s="12" t="str">
        <x:v>Monitor specialist pricing/offer language and project types.</x:v>
      </x:c>
      <x:c r="AC34" s="12" t="str">
        <x:v>https://www.google.com/maps/search/?api=1&amp;query=Canterbury+Balustrade+Limited</x:v>
      </x:c>
      <x:c r="AD34" s="12" t="str">
        <x:v>Not publicly verified</x:v>
      </x:c>
      <x:c r="AE34" s="18" t="n">
        <x:v>46255</x:v>
      </x:c>
    </x:row>
    <x:row r="35">
      <x:c r="A35" s="12" t="str">
        <x:v>Evolve Glass</x:v>
      </x:c>
      <x:c r="B35" s="12" t="str">
        <x:v>Not publicly verified</x:v>
      </x:c>
      <x:c r="C35" s="12" t="str">
        <x:v>12D Settlers Crescent, Ferrymead, Christchurch 8023</x:v>
      </x:c>
      <x:c r="D35" s="12" t="str">
        <x:v>Christchurch</x:v>
      </x:c>
      <x:c r="E35" s="12" t="str">
        <x:v>Canterbury</x:v>
      </x:c>
      <x:c r="F35" s="12" t="str">
        <x:v>022 432 8099</x:v>
      </x:c>
      <x:c r="G35" s="12" t="str">
        <x:v>Not publicly verified</x:v>
      </x:c>
      <x:c r="H35" s="12" t="str">
        <x:v>Not publicly verified</x:v>
      </x:c>
      <x:c r="I35" s="12" t="str">
        <x:v>Not publicly verified</x:v>
      </x:c>
      <x:c r="J35" s="12" t="str">
        <x:v>Not publicly verified</x:v>
      </x:c>
      <x:c r="K35" s="14" t="n">
        <x:v>5</x:v>
      </x:c>
      <x:c r="L35" s="16" t="n">
        <x:v>2</x:v>
      </x:c>
      <x:c r="M35" s="12" t="str">
        <x:v>Residential &amp; Commercial</x:v>
      </x:c>
      <x:c r="N35" s="12" t="str">
        <x:v>Unclear</x:v>
      </x:c>
      <x:c r="O35" s="12" t="str">
        <x:v>Yes</x:v>
      </x:c>
      <x:c r="P35" s="12" t="str">
        <x:v>Yes</x:v>
      </x:c>
      <x:c r="Q35" s="12" t="str">
        <x:v>Unclear</x:v>
      </x:c>
      <x:c r="R35" s="12" t="str">
        <x:v>Unclear</x:v>
      </x:c>
      <x:c r="S35" s="12" t="str">
        <x:v>Unclear</x:v>
      </x:c>
      <x:c r="T35" s="12" t="str">
        <x:v>Yes</x:v>
      </x:c>
      <x:c r="U35" s="12" t="n">
        <x:f>COUNTIF(N35:T35,"Yes")</x:f>
        <x:v>3</x:v>
      </x:c>
      <x:c r="V35" s="12" t="n">
        <x:f>COUNTIF(H35:J35,"&lt;&gt;Not publicly verified")</x:f>
        <x:v>0</x:v>
      </x:c>
      <x:c r="W35" s="12" t="str">
        <x:v>B</x:v>
      </x:c>
      <x:c r="X35" s="12" t="str">
        <x:v>Medium</x:v>
      </x:c>
      <x:c r="Y35" s="12" t="str">
        <x:v>Regional glass/fence contractor</x:v>
      </x:c>
      <x:c r="Z35" s="12" t="str">
        <x:v>Canterbury</x:v>
      </x:c>
      <x:c r="AA35" s="12" t="str">
        <x:v>Category overlap for fence/glass/shower work; small review footprint.</x:v>
      </x:c>
      <x:c r="AB35" s="12" t="str">
        <x:v>Verify website/social content and whether frameless products are a major focus.</x:v>
      </x:c>
      <x:c r="AC35" s="12" t="str">
        <x:v>https://www.google.com/maps/search/?api=1&amp;query=Evolve+Glass+Christchurch</x:v>
      </x:c>
      <x:c r="AD35" s="12" t="str">
        <x:v>Not publicly verified</x:v>
      </x:c>
      <x:c r="AE35" s="18" t="n">
        <x:v>46255</x:v>
      </x:c>
    </x:row>
    <x:row r="36">
      <x:c r="A36" s="12" t="str">
        <x:v>Unique Glass</x:v>
      </x:c>
      <x:c r="B36" s="12" t="str">
        <x:v>Not publicly verified</x:v>
      </x:c>
      <x:c r="C36" s="12" t="str">
        <x:v>37 Hickory Place, Islington, Christchurch 8042</x:v>
      </x:c>
      <x:c r="D36" s="12" t="str">
        <x:v>Christchurch</x:v>
      </x:c>
      <x:c r="E36" s="12" t="str">
        <x:v>Canterbury</x:v>
      </x:c>
      <x:c r="F36" s="12" t="str">
        <x:v>0800 766 343</x:v>
      </x:c>
      <x:c r="G36" s="12" t="str">
        <x:v>Not publicly verified</x:v>
      </x:c>
      <x:c r="H36" s="12" t="str">
        <x:v>Not publicly verified</x:v>
      </x:c>
      <x:c r="I36" s="12" t="str">
        <x:v>Not publicly verified</x:v>
      </x:c>
      <x:c r="J36" s="12" t="str">
        <x:v>Not publicly verified</x:v>
      </x:c>
      <x:c r="K36" s="14" t="n">
        <x:v>5</x:v>
      </x:c>
      <x:c r="L36" s="16" t="n">
        <x:v>4</x:v>
      </x:c>
      <x:c r="M36" s="12" t="str">
        <x:v>Residential &amp; Commercial</x:v>
      </x:c>
      <x:c r="N36" s="12" t="str">
        <x:v>Unclear</x:v>
      </x:c>
      <x:c r="O36" s="12" t="str">
        <x:v>Unclear</x:v>
      </x:c>
      <x:c r="P36" s="12" t="str">
        <x:v>Unclear</x:v>
      </x:c>
      <x:c r="Q36" s="12" t="str">
        <x:v>Unclear</x:v>
      </x:c>
      <x:c r="R36" s="12" t="str">
        <x:v>Unclear</x:v>
      </x:c>
      <x:c r="S36" s="12" t="str">
        <x:v>Unclear</x:v>
      </x:c>
      <x:c r="T36" s="12" t="str">
        <x:v>Yes</x:v>
      </x:c>
      <x:c r="U36" s="12" t="n">
        <x:f>COUNTIF(N36:T36,"Yes")</x:f>
        <x:v>1</x:v>
      </x:c>
      <x:c r="V36" s="12" t="n">
        <x:f>COUNTIF(H36:J36,"&lt;&gt;Not publicly verified")</x:f>
        <x:v>0</x:v>
      </x:c>
      <x:c r="W36" s="12" t="str">
        <x:v>B</x:v>
      </x:c>
      <x:c r="X36" s="12" t="str">
        <x:v>Medium</x:v>
      </x:c>
      <x:c r="Y36" s="12" t="str">
        <x:v>Regional glazier</x:v>
      </x:c>
      <x:c r="Z36" s="12" t="str">
        <x:v>Canterbury</x:v>
      </x:c>
      <x:c r="AA36" s="12" t="str">
        <x:v>Small but perfect-rating profile.</x:v>
      </x:c>
      <x:c r="AB36" s="12" t="str">
        <x:v>Verify specialist range; lower monitoring priority unless core overlap is confirmed.</x:v>
      </x:c>
      <x:c r="AC36" s="12" t="str">
        <x:v>https://www.google.com/maps/search/?api=1&amp;query=Unique+Glass+Christchurch</x:v>
      </x:c>
      <x:c r="AD36" s="12" t="str">
        <x:v>Not publicly verified</x:v>
      </x:c>
      <x:c r="AE36" s="18" t="n">
        <x:v>46255</x:v>
      </x:c>
    </x:row>
    <x:row r="37">
      <x:c r="A37" s="12" t="str">
        <x:v>Paul's Glass &amp; Glazing</x:v>
      </x:c>
      <x:c r="B37" s="12" t="str">
        <x:v>https://www.paulsglass.co.nz/</x:v>
      </x:c>
      <x:c r="C37" s="12" t="str">
        <x:v>9 Tuia Lane, Richmond 7020</x:v>
      </x:c>
      <x:c r="D37" s="12" t="str">
        <x:v>Richmond / Nelson</x:v>
      </x:c>
      <x:c r="E37" s="12" t="str">
        <x:v>Tasman / Nelson</x:v>
      </x:c>
      <x:c r="F37" s="12" t="str">
        <x:v>027 275 5133</x:v>
      </x:c>
      <x:c r="G37" s="12" t="str">
        <x:v>Contact form only</x:v>
      </x:c>
      <x:c r="H37" s="12" t="str">
        <x:v>Not publicly verified</x:v>
      </x:c>
      <x:c r="I37" s="12" t="str">
        <x:v>Not publicly verified</x:v>
      </x:c>
      <x:c r="J37" s="12" t="str">
        <x:v>Not publicly verified</x:v>
      </x:c>
      <x:c r="K37" s="14" t="n">
        <x:v>5</x:v>
      </x:c>
      <x:c r="L37" s="16" t="n">
        <x:v>267</x:v>
      </x:c>
      <x:c r="M37" s="12" t="str">
        <x:v>Residential</x:v>
      </x:c>
      <x:c r="N37" s="12" t="str">
        <x:v>Unclear</x:v>
      </x:c>
      <x:c r="O37" s="12" t="str">
        <x:v>Unclear</x:v>
      </x:c>
      <x:c r="P37" s="12" t="str">
        <x:v>Unclear</x:v>
      </x:c>
      <x:c r="Q37" s="12" t="str">
        <x:v>Unclear</x:v>
      </x:c>
      <x:c r="R37" s="12" t="str">
        <x:v>Yes</x:v>
      </x:c>
      <x:c r="S37" s="12" t="str">
        <x:v>Unclear</x:v>
      </x:c>
      <x:c r="T37" s="12" t="str">
        <x:v>Yes</x:v>
      </x:c>
      <x:c r="U37" s="12" t="n">
        <x:f>COUNTIF(N37:T37,"Yes")</x:f>
        <x:v>2</x:v>
      </x:c>
      <x:c r="V37" s="12" t="n">
        <x:f>COUNTIF(H37:J37,"&lt;&gt;Not publicly verified")</x:f>
        <x:v>0</x:v>
      </x:c>
      <x:c r="W37" s="12" t="str">
        <x:v>C</x:v>
      </x:c>
      <x:c r="X37" s="12" t="str">
        <x:v>Low</x:v>
      </x:c>
      <x:c r="Y37" s="12" t="str">
        <x:v>Regional general glazier</x:v>
      </x:c>
      <x:c r="Z37" s="12" t="str">
        <x:v>Nelson / Tasman</x:v>
      </x:c>
      <x:c r="AA37" s="12" t="str">
        <x:v>Exceptional review volume for a smaller regional operator.</x:v>
      </x:c>
      <x:c r="AB37" s="12" t="str">
        <x:v>Strong benchmark for customer experience and review acquisition; lower specialist-service overlap.</x:v>
      </x:c>
      <x:c r="AC37" s="12" t="str">
        <x:v>https://www.paulsglass.co.nz/</x:v>
      </x:c>
      <x:c r="AD37" s="12" t="str">
        <x:v>https://www.google.com/maps/search/?api=1&amp;query=Pauls+Glass+Richmond+Nelson</x:v>
      </x:c>
      <x:c r="AE37" s="18" t="n">
        <x:v>46255</x:v>
      </x:c>
    </x:row>
    <x:row r="38">
      <x:c r="A38" s="12" t="str">
        <x:v>Glass Xtreme</x:v>
      </x:c>
      <x:c r="B38" s="12" t="str">
        <x:v>https://glassxtreme.co.nz/</x:v>
      </x:c>
      <x:c r="C38" s="12" t="str">
        <x:v>6 Clovelly Street, Atawhai, Nelson 7010</x:v>
      </x:c>
      <x:c r="D38" s="12" t="str">
        <x:v>Nelson</x:v>
      </x:c>
      <x:c r="E38" s="12" t="str">
        <x:v>Nelson</x:v>
      </x:c>
      <x:c r="F38" s="12" t="str">
        <x:v>027 493 0305</x:v>
      </x:c>
      <x:c r="G38" s="12" t="str">
        <x:v>Not publicly verified</x:v>
      </x:c>
      <x:c r="H38" s="12" t="str">
        <x:v>Not publicly verified</x:v>
      </x:c>
      <x:c r="I38" s="12" t="str">
        <x:v>Not publicly verified</x:v>
      </x:c>
      <x:c r="J38" s="12" t="str">
        <x:v>Not publicly verified</x:v>
      </x:c>
      <x:c r="K38" s="14" t="n">
        <x:v>5</x:v>
      </x:c>
      <x:c r="L38" s="16" t="n">
        <x:v>20</x:v>
      </x:c>
      <x:c r="M38" s="12" t="str">
        <x:v>Residential &amp; Commercial</x:v>
      </x:c>
      <x:c r="N38" s="12" t="str">
        <x:v>Unclear</x:v>
      </x:c>
      <x:c r="O38" s="12" t="str">
        <x:v>Unclear</x:v>
      </x:c>
      <x:c r="P38" s="12" t="str">
        <x:v>Yes</x:v>
      </x:c>
      <x:c r="Q38" s="12" t="str">
        <x:v>Unclear</x:v>
      </x:c>
      <x:c r="R38" s="12" t="str">
        <x:v>Yes</x:v>
      </x:c>
      <x:c r="S38" s="12" t="str">
        <x:v>Yes</x:v>
      </x:c>
      <x:c r="T38" s="12" t="str">
        <x:v>Yes</x:v>
      </x:c>
      <x:c r="U38" s="12" t="n">
        <x:f>COUNTIF(N38:T38,"Yes")</x:f>
        <x:v>4</x:v>
      </x:c>
      <x:c r="V38" s="12" t="n">
        <x:f>COUNTIF(H38:J38,"&lt;&gt;Not publicly verified")</x:f>
        <x:v>0</x:v>
      </x:c>
      <x:c r="W38" s="12" t="str">
        <x:v>B</x:v>
      </x:c>
      <x:c r="X38" s="12" t="str">
        <x:v>Medium</x:v>
      </x:c>
      <x:c r="Y38" s="12" t="str">
        <x:v>Regional custom glass competitor</x:v>
      </x:c>
      <x:c r="Z38" s="12" t="str">
        <x:v>Nelson</x:v>
      </x:c>
      <x:c r="AA38" s="12" t="str">
        <x:v>Custom residential glass overlap with strong rating.</x:v>
      </x:c>
      <x:c r="AB38" s="12" t="str">
        <x:v>Monitor custom-product presentation and local portfolio content.</x:v>
      </x:c>
      <x:c r="AC38" s="12" t="str">
        <x:v>https://glassxtreme.co.nz/</x:v>
      </x:c>
      <x:c r="AD38" s="12" t="str">
        <x:v>https://www.google.com/maps/search/?api=1&amp;query=Glass+Xtreme+Nelson</x:v>
      </x:c>
      <x:c r="AE38" s="18" t="n">
        <x:v>46255</x:v>
      </x:c>
    </x:row>
    <x:row r="39">
      <x:c r="A39" s="12" t="str">
        <x:v>Dempster Glass Limited</x:v>
      </x:c>
      <x:c r="B39" s="12" t="str">
        <x:v>Not publicly verified</x:v>
      </x:c>
      <x:c r="C39" s="12" t="str">
        <x:v>10 Sutton Street, Richmond 7020</x:v>
      </x:c>
      <x:c r="D39" s="12" t="str">
        <x:v>Richmond</x:v>
      </x:c>
      <x:c r="E39" s="12" t="str">
        <x:v>Tasman</x:v>
      </x:c>
      <x:c r="F39" s="12" t="str">
        <x:v>027 407 3137</x:v>
      </x:c>
      <x:c r="G39" s="12" t="str">
        <x:v>Not publicly verified</x:v>
      </x:c>
      <x:c r="H39" s="12" t="str">
        <x:v>Not publicly verified</x:v>
      </x:c>
      <x:c r="I39" s="12" t="str">
        <x:v>Not publicly verified</x:v>
      </x:c>
      <x:c r="J39" s="12" t="str">
        <x:v>Not publicly verified</x:v>
      </x:c>
      <x:c r="K39" s="14" t="n">
        <x:v>5</x:v>
      </x:c>
      <x:c r="L39" s="16" t="n">
        <x:v>6</x:v>
      </x:c>
      <x:c r="M39" s="12" t="str">
        <x:v>Residential &amp; Commercial</x:v>
      </x:c>
      <x:c r="N39" s="12" t="str">
        <x:v>Unclear</x:v>
      </x:c>
      <x:c r="O39" s="12" t="str">
        <x:v>Unclear</x:v>
      </x:c>
      <x:c r="P39" s="12" t="str">
        <x:v>Unclear</x:v>
      </x:c>
      <x:c r="Q39" s="12" t="str">
        <x:v>Unclear</x:v>
      </x:c>
      <x:c r="R39" s="12" t="str">
        <x:v>Unclear</x:v>
      </x:c>
      <x:c r="S39" s="12" t="str">
        <x:v>Unclear</x:v>
      </x:c>
      <x:c r="T39" s="12" t="str">
        <x:v>Yes</x:v>
      </x:c>
      <x:c r="U39" s="12" t="n">
        <x:f>COUNTIF(N39:T39,"Yes")</x:f>
        <x:v>1</x:v>
      </x:c>
      <x:c r="V39" s="12" t="n">
        <x:f>COUNTIF(H39:J39,"&lt;&gt;Not publicly verified")</x:f>
        <x:v>0</x:v>
      </x:c>
      <x:c r="W39" s="12" t="str">
        <x:v>C</x:v>
      </x:c>
      <x:c r="X39" s="12" t="str">
        <x:v>Low</x:v>
      </x:c>
      <x:c r="Y39" s="12" t="str">
        <x:v>Regional glazier</x:v>
      </x:c>
      <x:c r="Z39" s="12" t="str">
        <x:v>Nelson / Tasman</x:v>
      </x:c>
      <x:c r="AA39" s="12" t="str">
        <x:v>Small local footprint; product overlap unclear.</x:v>
      </x:c>
      <x:c r="AB39" s="12" t="str">
        <x:v>Low priority until specialty services are verified.</x:v>
      </x:c>
      <x:c r="AC39" s="12" t="str">
        <x:v>https://www.google.com/maps/search/?api=1&amp;query=Dempster+Glass+Richmond+NZ</x:v>
      </x:c>
      <x:c r="AD39" s="12" t="str">
        <x:v>Not publicly verified</x:v>
      </x:c>
      <x:c r="AE39" s="18" t="n">
        <x:v>46255</x:v>
      </x:c>
    </x:row>
    <x:row r="40">
      <x:c r="A40" s="12" t="str">
        <x:v>Fast Glass | Glass Repairs Nelson</x:v>
      </x:c>
      <x:c r="B40" s="12" t="str">
        <x:v>Not publicly verified</x:v>
      </x:c>
      <x:c r="C40" s="12" t="str">
        <x:v>2 Fuji Court, Stoke, Nelson 7011</x:v>
      </x:c>
      <x:c r="D40" s="12" t="str">
        <x:v>Nelson</x:v>
      </x:c>
      <x:c r="E40" s="12" t="str">
        <x:v>Nelson</x:v>
      </x:c>
      <x:c r="F40" s="12" t="str">
        <x:v>03 547 2084</x:v>
      </x:c>
      <x:c r="G40" s="12" t="str">
        <x:v>Not publicly verified</x:v>
      </x:c>
      <x:c r="H40" s="12" t="str">
        <x:v>Not publicly verified</x:v>
      </x:c>
      <x:c r="I40" s="12" t="str">
        <x:v>Not publicly verified</x:v>
      </x:c>
      <x:c r="J40" s="12" t="str">
        <x:v>Not publicly verified</x:v>
      </x:c>
      <x:c r="K40" s="14" t="n">
        <x:v>4.8</x:v>
      </x:c>
      <x:c r="L40" s="16" t="n">
        <x:v>75</x:v>
      </x:c>
      <x:c r="M40" s="12" t="str">
        <x:v>Residential &amp; Commercial</x:v>
      </x:c>
      <x:c r="N40" s="12" t="str">
        <x:v>Unclear</x:v>
      </x:c>
      <x:c r="O40" s="12" t="str">
        <x:v>Unclear</x:v>
      </x:c>
      <x:c r="P40" s="12" t="str">
        <x:v>Unclear</x:v>
      </x:c>
      <x:c r="Q40" s="12" t="str">
        <x:v>Unclear</x:v>
      </x:c>
      <x:c r="R40" s="12" t="str">
        <x:v>Unclear</x:v>
      </x:c>
      <x:c r="S40" s="12" t="str">
        <x:v>Unclear</x:v>
      </x:c>
      <x:c r="T40" s="12" t="str">
        <x:v>Yes</x:v>
      </x:c>
      <x:c r="U40" s="12" t="n">
        <x:f>COUNTIF(N40:T40,"Yes")</x:f>
        <x:v>1</x:v>
      </x:c>
      <x:c r="V40" s="12" t="n">
        <x:f>COUNTIF(H40:J40,"&lt;&gt;Not publicly verified")</x:f>
        <x:v>0</x:v>
      </x:c>
      <x:c r="W40" s="12" t="str">
        <x:v>C</x:v>
      </x:c>
      <x:c r="X40" s="12" t="str">
        <x:v>Low</x:v>
      </x:c>
      <x:c r="Y40" s="12" t="str">
        <x:v>Regional repair glazier</x:v>
      </x:c>
      <x:c r="Z40" s="12" t="str">
        <x:v>Nelson</x:v>
      </x:c>
      <x:c r="AA40" s="12" t="str">
        <x:v>Strong repair/local search visibility.</x:v>
      </x:c>
      <x:c r="AB40" s="12" t="str">
        <x:v>Review/local SEO benchmark rather than core product competitor.</x:v>
      </x:c>
      <x:c r="AC40" s="12" t="str">
        <x:v>https://www.google.com/maps/search/?api=1&amp;query=Fast+Glass+Nelson</x:v>
      </x:c>
      <x:c r="AD40" s="12" t="str">
        <x:v>Not publicly verified</x:v>
      </x:c>
      <x:c r="AE40" s="18" t="n">
        <x:v>46255</x:v>
      </x:c>
    </x:row>
    <x:row r="41">
      <x:c r="A41" s="12" t="str">
        <x:v>Glassworx Nelson Ltd</x:v>
      </x:c>
      <x:c r="B41" s="12" t="str">
        <x:v>Not publicly verified</x:v>
      </x:c>
      <x:c r="C41" s="12" t="str">
        <x:v>8 Barros Place, Richmond 7020</x:v>
      </x:c>
      <x:c r="D41" s="12" t="str">
        <x:v>Richmond</x:v>
      </x:c>
      <x:c r="E41" s="12" t="str">
        <x:v>Tasman</x:v>
      </x:c>
      <x:c r="F41" s="12" t="str">
        <x:v>03 542 4412</x:v>
      </x:c>
      <x:c r="G41" s="12" t="str">
        <x:v>Not publicly verified</x:v>
      </x:c>
      <x:c r="H41" s="12" t="str">
        <x:v>Not publicly verified</x:v>
      </x:c>
      <x:c r="I41" s="12" t="str">
        <x:v>Not publicly verified</x:v>
      </x:c>
      <x:c r="J41" s="12" t="str">
        <x:v>Not publicly verified</x:v>
      </x:c>
      <x:c r="K41" s="14" t="n">
        <x:v>4.8</x:v>
      </x:c>
      <x:c r="L41" s="16" t="n">
        <x:v>45</x:v>
      </x:c>
      <x:c r="M41" s="12" t="str">
        <x:v>Residential &amp; Commercial</x:v>
      </x:c>
      <x:c r="N41" s="12" t="str">
        <x:v>Unclear</x:v>
      </x:c>
      <x:c r="O41" s="12" t="str">
        <x:v>Unclear</x:v>
      </x:c>
      <x:c r="P41" s="12" t="str">
        <x:v>Unclear</x:v>
      </x:c>
      <x:c r="Q41" s="12" t="str">
        <x:v>Unclear</x:v>
      </x:c>
      <x:c r="R41" s="12" t="str">
        <x:v>Unclear</x:v>
      </x:c>
      <x:c r="S41" s="12" t="str">
        <x:v>Unclear</x:v>
      </x:c>
      <x:c r="T41" s="12" t="str">
        <x:v>Yes</x:v>
      </x:c>
      <x:c r="U41" s="12" t="n">
        <x:f>COUNTIF(N41:T41,"Yes")</x:f>
        <x:v>1</x:v>
      </x:c>
      <x:c r="V41" s="12" t="n">
        <x:f>COUNTIF(H41:J41,"&lt;&gt;Not publicly verified")</x:f>
        <x:v>0</x:v>
      </x:c>
      <x:c r="W41" s="12" t="str">
        <x:v>B</x:v>
      </x:c>
      <x:c r="X41" s="12" t="str">
        <x:v>Medium</x:v>
      </x:c>
      <x:c r="Y41" s="12" t="str">
        <x:v>Regional glazier</x:v>
      </x:c>
      <x:c r="Z41" s="12" t="str">
        <x:v>Nelson / Tasman</x:v>
      </x:c>
      <x:c r="AA41" s="12" t="str">
        <x:v>Moderate review authority; overlap needs verification.</x:v>
      </x:c>
      <x:c r="AB41" s="12" t="str">
        <x:v>Verify product mix before recurring monitoring.</x:v>
      </x:c>
      <x:c r="AC41" s="12" t="str">
        <x:v>https://www.google.com/maps/search/?api=1&amp;query=Glassworx+Nelson+Richmond</x:v>
      </x:c>
      <x:c r="AD41" s="12" t="str">
        <x:v>Not publicly verified</x:v>
      </x:c>
      <x:c r="AE41" s="18" t="n">
        <x:v>46255</x:v>
      </x:c>
    </x:row>
    <x:row r="42">
      <x:c r="A42" s="12" t="str">
        <x:v>Proglaze Ltd</x:v>
      </x:c>
      <x:c r="B42" s="12" t="str">
        <x:v>Not publicly verified</x:v>
      </x:c>
      <x:c r="C42" s="12" t="str">
        <x:v>47 Saxton Road, Upper Vogeltown, New Plymouth 4371</x:v>
      </x:c>
      <x:c r="D42" s="12" t="str">
        <x:v>New Plymouth</x:v>
      </x:c>
      <x:c r="E42" s="12" t="str">
        <x:v>Taranaki</x:v>
      </x:c>
      <x:c r="F42" s="12" t="str">
        <x:v>06 758 1544</x:v>
      </x:c>
      <x:c r="G42" s="12" t="str">
        <x:v>Not publicly verified</x:v>
      </x:c>
      <x:c r="H42" s="12" t="str">
        <x:v>Not publicly verified</x:v>
      </x:c>
      <x:c r="I42" s="12" t="str">
        <x:v>Not publicly verified</x:v>
      </x:c>
      <x:c r="J42" s="12" t="str">
        <x:v>Not publicly verified</x:v>
      </x:c>
      <x:c r="K42" s="14" t="n">
        <x:v>5</x:v>
      </x:c>
      <x:c r="L42" s="16" t="n">
        <x:v>211</x:v>
      </x:c>
      <x:c r="M42" s="12" t="str">
        <x:v>Residential &amp; Commercial</x:v>
      </x:c>
      <x:c r="N42" s="12" t="str">
        <x:v>Unclear</x:v>
      </x:c>
      <x:c r="O42" s="12" t="str">
        <x:v>Unclear</x:v>
      </x:c>
      <x:c r="P42" s="12" t="str">
        <x:v>Yes</x:v>
      </x:c>
      <x:c r="Q42" s="12" t="str">
        <x:v>Unclear</x:v>
      </x:c>
      <x:c r="R42" s="12" t="str">
        <x:v>Unclear</x:v>
      </x:c>
      <x:c r="S42" s="12" t="str">
        <x:v>Unclear</x:v>
      </x:c>
      <x:c r="T42" s="12" t="str">
        <x:v>Yes</x:v>
      </x:c>
      <x:c r="U42" s="12" t="n">
        <x:f>COUNTIF(N42:T42,"Yes")</x:f>
        <x:v>2</x:v>
      </x:c>
      <x:c r="V42" s="12" t="n">
        <x:f>COUNTIF(H42:J42,"&lt;&gt;Not publicly verified")</x:f>
        <x:v>0</x:v>
      </x:c>
      <x:c r="W42" s="12" t="str">
        <x:v>B</x:v>
      </x:c>
      <x:c r="X42" s="12" t="str">
        <x:v>Medium</x:v>
      </x:c>
      <x:c r="Y42" s="12" t="str">
        <x:v>Strong regional glazier</x:v>
      </x:c>
      <x:c r="Z42" s="12" t="str">
        <x:v>Taranaki</x:v>
      </x:c>
      <x:c r="AA42" s="12" t="str">
        <x:v>Outstanding review profile and regional brand strength.</x:v>
      </x:c>
      <x:c r="AB42" s="12" t="str">
        <x:v>Priority Taranaki benchmark for reviews/customer service; verify balustrade/pool overlap.</x:v>
      </x:c>
      <x:c r="AC42" s="12" t="str">
        <x:v>https://www.google.com/maps/search/?api=1&amp;query=Proglaze+Ltd+New+Plymouth</x:v>
      </x:c>
      <x:c r="AD42" s="12" t="str">
        <x:v>Not publicly verified</x:v>
      </x:c>
      <x:c r="AE42" s="18" t="n">
        <x:v>46255</x:v>
      </x:c>
    </x:row>
    <x:row r="43">
      <x:c r="A43" s="12" t="str">
        <x:v>The Glass Man</x:v>
      </x:c>
      <x:c r="B43" s="12" t="str">
        <x:v>Not publicly verified</x:v>
      </x:c>
      <x:c r="C43" s="12" t="str">
        <x:v>22 Manadon Street, Spotswood, New Plymouth 4310</x:v>
      </x:c>
      <x:c r="D43" s="12" t="str">
        <x:v>New Plymouth</x:v>
      </x:c>
      <x:c r="E43" s="12" t="str">
        <x:v>Taranaki</x:v>
      </x:c>
      <x:c r="F43" s="12" t="str">
        <x:v>06 758 3027</x:v>
      </x:c>
      <x:c r="G43" s="12" t="str">
        <x:v>Not publicly verified</x:v>
      </x:c>
      <x:c r="H43" s="12" t="str">
        <x:v>Not publicly verified</x:v>
      </x:c>
      <x:c r="I43" s="12" t="str">
        <x:v>Not publicly verified</x:v>
      </x:c>
      <x:c r="J43" s="12" t="str">
        <x:v>Not publicly verified</x:v>
      </x:c>
      <x:c r="K43" s="14" t="n">
        <x:v>4.8</x:v>
      </x:c>
      <x:c r="L43" s="16" t="n">
        <x:v>134</x:v>
      </x:c>
      <x:c r="M43" s="12" t="str">
        <x:v>Residential &amp; Automotive</x:v>
      </x:c>
      <x:c r="N43" s="12" t="str">
        <x:v>Unclear</x:v>
      </x:c>
      <x:c r="O43" s="12" t="str">
        <x:v>Unclear</x:v>
      </x:c>
      <x:c r="P43" s="12" t="str">
        <x:v>Unclear</x:v>
      </x:c>
      <x:c r="Q43" s="12" t="str">
        <x:v>Unclear</x:v>
      </x:c>
      <x:c r="R43" s="12" t="str">
        <x:v>Unclear</x:v>
      </x:c>
      <x:c r="S43" s="12" t="str">
        <x:v>Unclear</x:v>
      </x:c>
      <x:c r="T43" s="12" t="str">
        <x:v>Yes</x:v>
      </x:c>
      <x:c r="U43" s="12" t="n">
        <x:f>COUNTIF(N43:T43,"Yes")</x:f>
        <x:v>1</x:v>
      </x:c>
      <x:c r="V43" s="12" t="n">
        <x:f>COUNTIF(H43:J43,"&lt;&gt;Not publicly verified")</x:f>
        <x:v>0</x:v>
      </x:c>
      <x:c r="W43" s="12" t="str">
        <x:v>C</x:v>
      </x:c>
      <x:c r="X43" s="12" t="str">
        <x:v>Low</x:v>
      </x:c>
      <x:c r="Y43" s="12" t="str">
        <x:v>Adjacent regional glazier</x:v>
      </x:c>
      <x:c r="Z43" s="12" t="str">
        <x:v>Taranaki</x:v>
      </x:c>
      <x:c r="AA43" s="12" t="str">
        <x:v>Strong reviews but mixed/adjacent service profile.</x:v>
      </x:c>
      <x:c r="AB43" s="12" t="str">
        <x:v>Local review/search benchmark only unless core architectural-glass overlap is confirmed.</x:v>
      </x:c>
      <x:c r="AC43" s="12" t="str">
        <x:v>https://www.google.com/maps/search/?api=1&amp;query=The+Glass+Man+New+Plymouth</x:v>
      </x:c>
      <x:c r="AD43" s="12" t="str">
        <x:v>Not publicly verified</x:v>
      </x:c>
      <x:c r="AE43" s="18" t="n">
        <x:v>46255</x:v>
      </x:c>
    </x:row>
    <x:row r="44">
      <x:c r="A44" s="12" t="str">
        <x:v>NP Glass</x:v>
      </x:c>
      <x:c r="B44" s="12" t="str">
        <x:v>Not publicly verified</x:v>
      </x:c>
      <x:c r="C44" s="12" t="str">
        <x:v>Not publicly verified</x:v>
      </x:c>
      <x:c r="D44" s="12" t="str">
        <x:v>New Plymouth</x:v>
      </x:c>
      <x:c r="E44" s="12" t="str">
        <x:v>Taranaki</x:v>
      </x:c>
      <x:c r="F44" s="12" t="str">
        <x:v>022 136 4142</x:v>
      </x:c>
      <x:c r="G44" s="12" t="str">
        <x:v>Not publicly verified</x:v>
      </x:c>
      <x:c r="H44" s="12" t="str">
        <x:v>Not publicly verified</x:v>
      </x:c>
      <x:c r="I44" s="12" t="str">
        <x:v>Not publicly verified</x:v>
      </x:c>
      <x:c r="J44" s="12" t="str">
        <x:v>Not publicly verified</x:v>
      </x:c>
      <x:c r="K44" s="14" t="n">
        <x:v>4.7</x:v>
      </x:c>
      <x:c r="L44" s="16" t="n">
        <x:v>11</x:v>
      </x:c>
      <x:c r="M44" s="12" t="str">
        <x:v>Residential &amp; Commercial</x:v>
      </x:c>
      <x:c r="N44" s="12" t="str">
        <x:v>Unclear</x:v>
      </x:c>
      <x:c r="O44" s="12" t="str">
        <x:v>Unclear</x:v>
      </x:c>
      <x:c r="P44" s="12" t="str">
        <x:v>Unclear</x:v>
      </x:c>
      <x:c r="Q44" s="12" t="str">
        <x:v>Unclear</x:v>
      </x:c>
      <x:c r="R44" s="12" t="str">
        <x:v>Unclear</x:v>
      </x:c>
      <x:c r="S44" s="12" t="str">
        <x:v>Unclear</x:v>
      </x:c>
      <x:c r="T44" s="12" t="str">
        <x:v>Yes</x:v>
      </x:c>
      <x:c r="U44" s="12" t="n">
        <x:f>COUNTIF(N44:T44,"Yes")</x:f>
        <x:v>1</x:v>
      </x:c>
      <x:c r="V44" s="12" t="n">
        <x:f>COUNTIF(H44:J44,"&lt;&gt;Not publicly verified")</x:f>
        <x:v>0</x:v>
      </x:c>
      <x:c r="W44" s="12" t="str">
        <x:v>C</x:v>
      </x:c>
      <x:c r="X44" s="12" t="str">
        <x:v>Low</x:v>
      </x:c>
      <x:c r="Y44" s="12" t="str">
        <x:v>Regional glazier</x:v>
      </x:c>
      <x:c r="Z44" s="12" t="str">
        <x:v>Taranaki</x:v>
      </x:c>
      <x:c r="AA44" s="12" t="str">
        <x:v>Small digital footprint in current pass.</x:v>
      </x:c>
      <x:c r="AB44" s="12" t="str">
        <x:v>Keep in discovery pool; enrich only if search/social monitoring finds meaningful overlap.</x:v>
      </x:c>
      <x:c r="AC44" s="12" t="str">
        <x:v>https://www.google.com/maps/search/?api=1&amp;query=NP+Glass+New+Plymouth</x:v>
      </x:c>
      <x:c r="AD44" s="12" t="str">
        <x:v>Not publicly verified</x:v>
      </x:c>
      <x:c r="AE44" s="18" t="n">
        <x:v>46255</x:v>
      </x:c>
    </x:row>
    <x:row r="45">
      <x:c r="A45" s="12" t="str">
        <x:v>G &amp; S Glass &amp; Glazing</x:v>
      </x:c>
      <x:c r="B45" s="12" t="str">
        <x:v>Not publicly verified</x:v>
      </x:c>
      <x:c r="C45" s="12" t="str">
        <x:v>133 Junction Road, Mangorei 4371</x:v>
      </x:c>
      <x:c r="D45" s="12" t="str">
        <x:v>New Plymouth</x:v>
      </x:c>
      <x:c r="E45" s="12" t="str">
        <x:v>Taranaki</x:v>
      </x:c>
      <x:c r="F45" s="12" t="str">
        <x:v>06 758 5544</x:v>
      </x:c>
      <x:c r="G45" s="12" t="str">
        <x:v>Not publicly verified</x:v>
      </x:c>
      <x:c r="H45" s="12" t="str">
        <x:v>Not publicly verified</x:v>
      </x:c>
      <x:c r="I45" s="12" t="str">
        <x:v>Not publicly verified</x:v>
      </x:c>
      <x:c r="J45" s="12" t="str">
        <x:v>Not publicly verified</x:v>
      </x:c>
      <x:c r="K45" s="14" t="n">
        <x:v>5</x:v>
      </x:c>
      <x:c r="L45" s="16" t="n">
        <x:v>15</x:v>
      </x:c>
      <x:c r="M45" s="12" t="str">
        <x:v>Residential &amp; Commercial</x:v>
      </x:c>
      <x:c r="N45" s="12" t="str">
        <x:v>Unclear</x:v>
      </x:c>
      <x:c r="O45" s="12" t="str">
        <x:v>Unclear</x:v>
      </x:c>
      <x:c r="P45" s="12" t="str">
        <x:v>Unclear</x:v>
      </x:c>
      <x:c r="Q45" s="12" t="str">
        <x:v>Unclear</x:v>
      </x:c>
      <x:c r="R45" s="12" t="str">
        <x:v>Unclear</x:v>
      </x:c>
      <x:c r="S45" s="12" t="str">
        <x:v>Unclear</x:v>
      </x:c>
      <x:c r="T45" s="12" t="str">
        <x:v>Yes</x:v>
      </x:c>
      <x:c r="U45" s="12" t="n">
        <x:f>COUNTIF(N45:T45,"Yes")</x:f>
        <x:v>1</x:v>
      </x:c>
      <x:c r="V45" s="12" t="n">
        <x:f>COUNTIF(H45:J45,"&lt;&gt;Not publicly verified")</x:f>
        <x:v>0</x:v>
      </x:c>
      <x:c r="W45" s="12" t="str">
        <x:v>C</x:v>
      </x:c>
      <x:c r="X45" s="12" t="str">
        <x:v>Low</x:v>
      </x:c>
      <x:c r="Y45" s="12" t="str">
        <x:v>Regional glazier</x:v>
      </x:c>
      <x:c r="Z45" s="12" t="str">
        <x:v>Taranaki</x:v>
      </x:c>
      <x:c r="AA45" s="12" t="str">
        <x:v>Perfect rating but modest review base.</x:v>
      </x:c>
      <x:c r="AB45" s="12" t="str">
        <x:v>Discovery-level competitor pending product verification.</x:v>
      </x:c>
      <x:c r="AC45" s="12" t="str">
        <x:v>https://www.google.com/maps/search/?api=1&amp;query=G+and+S+Glass+Glazing+Taranaki</x:v>
      </x:c>
      <x:c r="AD45" s="12" t="str">
        <x:v>Not publicly verified</x:v>
      </x:c>
      <x:c r="AE45" s="18" t="n">
        <x:v>46255</x:v>
      </x:c>
    </x:row>
    <x:row r="46">
      <x:c r="A46" s="12" t="str">
        <x:v>Premium Glass Hawkes Bay</x:v>
      </x:c>
      <x:c r="B46" s="12" t="str">
        <x:v>Not publicly verified</x:v>
      </x:c>
      <x:c r="C46" s="12" t="str">
        <x:v>3 Ryan Crescent, Greenmeadows, Napier 4112</x:v>
      </x:c>
      <x:c r="D46" s="12" t="str">
        <x:v>Napier</x:v>
      </x:c>
      <x:c r="E46" s="12" t="str">
        <x:v>Hawke's Bay</x:v>
      </x:c>
      <x:c r="F46" s="12" t="str">
        <x:v>027 468 9715</x:v>
      </x:c>
      <x:c r="G46" s="12" t="str">
        <x:v>Not publicly verified</x:v>
      </x:c>
      <x:c r="H46" s="12" t="str">
        <x:v>Not publicly verified</x:v>
      </x:c>
      <x:c r="I46" s="12" t="str">
        <x:v>Not publicly verified</x:v>
      </x:c>
      <x:c r="J46" s="12" t="str">
        <x:v>Not publicly verified</x:v>
      </x:c>
      <x:c r="K46" s="14" t="n">
        <x:v>5</x:v>
      </x:c>
      <x:c r="L46" s="16" t="n">
        <x:v>3</x:v>
      </x:c>
      <x:c r="M46" s="12" t="str">
        <x:v>Residential &amp; Commercial</x:v>
      </x:c>
      <x:c r="N46" s="12" t="str">
        <x:v>Unclear</x:v>
      </x:c>
      <x:c r="O46" s="12" t="str">
        <x:v>Unclear</x:v>
      </x:c>
      <x:c r="P46" s="12" t="str">
        <x:v>Unclear</x:v>
      </x:c>
      <x:c r="Q46" s="12" t="str">
        <x:v>Unclear</x:v>
      </x:c>
      <x:c r="R46" s="12" t="str">
        <x:v>Unclear</x:v>
      </x:c>
      <x:c r="S46" s="12" t="str">
        <x:v>Unclear</x:v>
      </x:c>
      <x:c r="T46" s="12" t="str">
        <x:v>Yes</x:v>
      </x:c>
      <x:c r="U46" s="12" t="n">
        <x:f>COUNTIF(N46:T46,"Yes")</x:f>
        <x:v>1</x:v>
      </x:c>
      <x:c r="V46" s="12" t="n">
        <x:f>COUNTIF(H46:J46,"&lt;&gt;Not publicly verified")</x:f>
        <x:v>0</x:v>
      </x:c>
      <x:c r="W46" s="12" t="str">
        <x:v>B</x:v>
      </x:c>
      <x:c r="X46" s="12" t="str">
        <x:v>Medium</x:v>
      </x:c>
      <x:c r="Y46" s="12" t="str">
        <x:v>Regional premium glass candidate</x:v>
      </x:c>
      <x:c r="Z46" s="12" t="str">
        <x:v>Hawke's Bay</x:v>
      </x:c>
      <x:c r="AA46" s="12" t="str">
        <x:v>Premium naming/positioning but small public review footprint.</x:v>
      </x:c>
      <x:c r="AB46" s="12" t="str">
        <x:v>Verify product overlap and premium branding approach.</x:v>
      </x:c>
      <x:c r="AC46" s="12" t="str">
        <x:v>https://www.google.com/maps/search/?api=1&amp;query=Premium+Glass+Hawkes+Bay</x:v>
      </x:c>
      <x:c r="AD46" s="12" t="str">
        <x:v>Not publicly verified</x:v>
      </x:c>
      <x:c r="AE46" s="18" t="n">
        <x:v>46255</x:v>
      </x:c>
    </x:row>
    <x:row r="47">
      <x:c r="A47" s="12" t="str">
        <x:v>Napier Glass Limited</x:v>
      </x:c>
      <x:c r="B47" s="12" t="str">
        <x:v>Not publicly verified</x:v>
      </x:c>
      <x:c r="C47" s="12" t="str">
        <x:v>20 Austin Street, Onekawa, Napier 4110</x:v>
      </x:c>
      <x:c r="D47" s="12" t="str">
        <x:v>Napier</x:v>
      </x:c>
      <x:c r="E47" s="12" t="str">
        <x:v>Hawke's Bay</x:v>
      </x:c>
      <x:c r="F47" s="12" t="str">
        <x:v>06 843 6481</x:v>
      </x:c>
      <x:c r="G47" s="12" t="str">
        <x:v>Not publicly verified</x:v>
      </x:c>
      <x:c r="H47" s="12" t="str">
        <x:v>Not publicly verified</x:v>
      </x:c>
      <x:c r="I47" s="12" t="str">
        <x:v>Not publicly verified</x:v>
      </x:c>
      <x:c r="J47" s="12" t="str">
        <x:v>Not publicly verified</x:v>
      </x:c>
      <x:c r="K47" s="14" t="n">
        <x:v>4.5</x:v>
      </x:c>
      <x:c r="L47" s="16" t="n">
        <x:v>59</x:v>
      </x:c>
      <x:c r="M47" s="12" t="str">
        <x:v>Residential &amp; Commercial</x:v>
      </x:c>
      <x:c r="N47" s="12" t="str">
        <x:v>Unclear</x:v>
      </x:c>
      <x:c r="O47" s="12" t="str">
        <x:v>Unclear</x:v>
      </x:c>
      <x:c r="P47" s="12" t="str">
        <x:v>Unclear</x:v>
      </x:c>
      <x:c r="Q47" s="12" t="str">
        <x:v>Unclear</x:v>
      </x:c>
      <x:c r="R47" s="12" t="str">
        <x:v>Unclear</x:v>
      </x:c>
      <x:c r="S47" s="12" t="str">
        <x:v>Unclear</x:v>
      </x:c>
      <x:c r="T47" s="12" t="str">
        <x:v>Yes</x:v>
      </x:c>
      <x:c r="U47" s="12" t="n">
        <x:f>COUNTIF(N47:T47,"Yes")</x:f>
        <x:v>1</x:v>
      </x:c>
      <x:c r="V47" s="12" t="n">
        <x:f>COUNTIF(H47:J47,"&lt;&gt;Not publicly verified")</x:f>
        <x:v>0</x:v>
      </x:c>
      <x:c r="W47" s="12" t="str">
        <x:v>B</x:v>
      </x:c>
      <x:c r="X47" s="12" t="str">
        <x:v>Medium</x:v>
      </x:c>
      <x:c r="Y47" s="12" t="str">
        <x:v>Regional glazier</x:v>
      </x:c>
      <x:c r="Z47" s="12" t="str">
        <x:v>Hawke's Bay</x:v>
      </x:c>
      <x:c r="AA47" s="12" t="str">
        <x:v>Established regional business with moderate review base.</x:v>
      </x:c>
      <x:c r="AB47" s="12" t="str">
        <x:v>Regional search visibility and service breadth benchmark.</x:v>
      </x:c>
      <x:c r="AC47" s="12" t="str">
        <x:v>https://www.google.com/maps/search/?api=1&amp;query=Napier+Glass+Limited</x:v>
      </x:c>
      <x:c r="AD47" s="12" t="str">
        <x:v>Not publicly verified</x:v>
      </x:c>
      <x:c r="AE47" s="18" t="n">
        <x:v>46255</x:v>
      </x:c>
    </x:row>
    <x:row r="48">
      <x:c r="A48" s="12" t="str">
        <x:v>Viridian Glass Napier / Hastings</x:v>
      </x:c>
      <x:c r="B48" s="12" t="str">
        <x:v>https://www.viridianglass.co.nz/</x:v>
      </x:c>
      <x:c r="C48" s="12" t="str">
        <x:v>2 Lipton Place, Onekawa, Napier 4110</x:v>
      </x:c>
      <x:c r="D48" s="12" t="str">
        <x:v>Napier</x:v>
      </x:c>
      <x:c r="E48" s="12" t="str">
        <x:v>Hawke's Bay / Nationwide</x:v>
      </x:c>
      <x:c r="F48" s="12" t="str">
        <x:v>0800 847 434</x:v>
      </x:c>
      <x:c r="G48" s="12" t="str">
        <x:v>Not publicly verified</x:v>
      </x:c>
      <x:c r="H48" s="12" t="str">
        <x:v>Not publicly verified</x:v>
      </x:c>
      <x:c r="I48" s="12" t="str">
        <x:v>Not publicly verified</x:v>
      </x:c>
      <x:c r="J48" s="12" t="str">
        <x:v>Not publicly verified</x:v>
      </x:c>
      <x:c r="K48" s="14" t="n">
        <x:v>5</x:v>
      </x:c>
      <x:c r="L48" s="16" t="n">
        <x:v>1</x:v>
      </x:c>
      <x:c r="M48" s="12" t="str">
        <x:v>Commercial &amp; Trade</x:v>
      </x:c>
      <x:c r="N48" s="12" t="str">
        <x:v>Unclear</x:v>
      </x:c>
      <x:c r="O48" s="12" t="str">
        <x:v>Unclear</x:v>
      </x:c>
      <x:c r="P48" s="12" t="str">
        <x:v>Unclear</x:v>
      </x:c>
      <x:c r="Q48" s="12" t="str">
        <x:v>Yes</x:v>
      </x:c>
      <x:c r="R48" s="12" t="str">
        <x:v>Unclear</x:v>
      </x:c>
      <x:c r="S48" s="12" t="str">
        <x:v>Unclear</x:v>
      </x:c>
      <x:c r="T48" s="12" t="str">
        <x:v>Yes</x:v>
      </x:c>
      <x:c r="U48" s="12" t="n">
        <x:f>COUNTIF(N48:T48,"Yes")</x:f>
        <x:v>2</x:v>
      </x:c>
      <x:c r="V48" s="12" t="n">
        <x:f>COUNTIF(H48:J48,"&lt;&gt;Not publicly verified")</x:f>
        <x:v>0</x:v>
      </x:c>
      <x:c r="W48" s="12" t="str">
        <x:v>B</x:v>
      </x:c>
      <x:c r="X48" s="12" t="str">
        <x:v>Medium</x:v>
      </x:c>
      <x:c r="Y48" s="12" t="str">
        <x:v>Large national glass supplier/installer</x:v>
      </x:c>
      <x:c r="Z48" s="12" t="str">
        <x:v>New Zealand</x:v>
      </x:c>
      <x:c r="AA48" s="12" t="str">
        <x:v>National scale and trade/commercial capability; not a like-for-like local specialist.</x:v>
      </x:c>
      <x:c r="AB48" s="12" t="str">
        <x:v>Watch commercial/specifier resources, product supply and national account positioning.</x:v>
      </x:c>
      <x:c r="AC48" s="12" t="str">
        <x:v>https://www.viridianglass.co.nz/</x:v>
      </x:c>
      <x:c r="AD48" s="12" t="str">
        <x:v>https://www.google.com/maps/search/?api=1&amp;query=Viridian+Glass+Napier</x:v>
      </x:c>
      <x:c r="AE48" s="18" t="n">
        <x:v>46255</x:v>
      </x:c>
    </x:row>
    <x:row r="49">
      <x:c r="A49" s="12" t="str">
        <x:v>Northland Specialty Glass</x:v>
      </x:c>
      <x:c r="B49" s="12" t="str">
        <x:v>https://specialtyglass.co.nz/</x:v>
      </x:c>
      <x:c r="C49" s="12" t="str">
        <x:v>150 Lower Dent Street, Whangarei 0110</x:v>
      </x:c>
      <x:c r="D49" s="12" t="str">
        <x:v>Whangarei</x:v>
      </x:c>
      <x:c r="E49" s="12" t="str">
        <x:v>Northland</x:v>
      </x:c>
      <x:c r="F49" s="12" t="str">
        <x:v>0800 845 277</x:v>
      </x:c>
      <x:c r="G49" s="12" t="str">
        <x:v>info@specialtyglass.co.nz</x:v>
      </x:c>
      <x:c r="H49" s="12" t="str">
        <x:v>Not publicly verified</x:v>
      </x:c>
      <x:c r="I49" s="12" t="str">
        <x:v>Not publicly verified</x:v>
      </x:c>
      <x:c r="J49" s="12" t="str">
        <x:v>Not publicly verified</x:v>
      </x:c>
      <x:c r="K49" s="14" t="n">
        <x:v>4.8</x:v>
      </x:c>
      <x:c r="L49" s="16" t="n">
        <x:v>210</x:v>
      </x:c>
      <x:c r="M49" s="12" t="str">
        <x:v>Residential &amp; Commercial</x:v>
      </x:c>
      <x:c r="N49" s="12" t="str">
        <x:v>Yes</x:v>
      </x:c>
      <x:c r="O49" s="12" t="str">
        <x:v>Yes</x:v>
      </x:c>
      <x:c r="P49" s="12" t="str">
        <x:v>Yes</x:v>
      </x:c>
      <x:c r="Q49" s="12" t="str">
        <x:v>Yes</x:v>
      </x:c>
      <x:c r="R49" s="12" t="str">
        <x:v>Yes</x:v>
      </x:c>
      <x:c r="S49" s="12" t="str">
        <x:v>Yes</x:v>
      </x:c>
      <x:c r="T49" s="12" t="str">
        <x:v>Yes</x:v>
      </x:c>
      <x:c r="U49" s="12" t="n">
        <x:f>COUNTIF(N49:T49,"Yes")</x:f>
        <x:v>7</x:v>
      </x:c>
      <x:c r="V49" s="12" t="n">
        <x:f>COUNTIF(H49:J49,"&lt;&gt;Not publicly verified")</x:f>
        <x:v>0</x:v>
      </x:c>
      <x:c r="W49" s="12" t="str">
        <x:v>A+</x:v>
      </x:c>
      <x:c r="X49" s="12" t="str">
        <x:v>High</x:v>
      </x:c>
      <x:c r="Y49" s="12" t="str">
        <x:v>Direct regional full-service competitor</x:v>
      </x:c>
      <x:c r="Z49" s="12" t="str">
        <x:v>Northland, Wellsford to Cape</x:v>
      </x:c>
      <x:c r="AA49" s="12" t="str">
        <x:v>Claims largest independent locally owned Northland glazing company; 200+ reviews; broad service matrix.</x:v>
      </x:c>
      <x:c r="AB49" s="12" t="str">
        <x:v>Priority regional benchmark for trust, broad product cross-sell, review authority and builder/property-manager targeting.</x:v>
      </x:c>
      <x:c r="AC49" s="12" t="str">
        <x:v>https://specialtyglass.co.nz/</x:v>
      </x:c>
      <x:c r="AD49" s="12" t="str">
        <x:v>https://vetroraccordi.com/northland-specialty-glass/</x:v>
      </x:c>
      <x:c r="AE49" s="18" t="n">
        <x:v>46255</x:v>
      </x:c>
    </x:row>
    <x:row r="50">
      <x:c r="A50" s="12" t="str">
        <x:v>Outdoor Edge Northland</x:v>
      </x:c>
      <x:c r="B50" s="12" t="str">
        <x:v>https://outdooredge.co.nz/</x:v>
      </x:c>
      <x:c r="C50" s="12" t="str">
        <x:v>Not publicly verified</x:v>
      </x:c>
      <x:c r="D50" s="12" t="str">
        <x:v>Whangarei / Northland</x:v>
      </x:c>
      <x:c r="E50" s="12" t="str">
        <x:v>Northland</x:v>
      </x:c>
      <x:c r="F50" s="12" t="str">
        <x:v>0800 459 192</x:v>
      </x:c>
      <x:c r="G50" s="12" t="str">
        <x:v>info@outdooredge.co.nz</x:v>
      </x:c>
      <x:c r="H50" s="12" t="str">
        <x:v>Not publicly verified</x:v>
      </x:c>
      <x:c r="I50" s="12" t="str">
        <x:v>Not publicly verified</x:v>
      </x:c>
      <x:c r="J50" s="12" t="str">
        <x:v>Not publicly verified</x:v>
      </x:c>
      <x:c r="K50" s="14" t="n">
        <x:v>4.7</x:v>
      </x:c>
      <x:c r="L50" s="16" t="n">
        <x:v>24</x:v>
      </x:c>
      <x:c r="M50" s="12" t="str">
        <x:v>Residential / Outdoor Living</x:v>
      </x:c>
      <x:c r="N50" s="12" t="str">
        <x:v>Yes</x:v>
      </x:c>
      <x:c r="O50" s="12" t="str">
        <x:v>Yes</x:v>
      </x:c>
      <x:c r="P50" s="12" t="str">
        <x:v>No</x:v>
      </x:c>
      <x:c r="Q50" s="12" t="str">
        <x:v>No</x:v>
      </x:c>
      <x:c r="R50" s="12" t="str">
        <x:v>No</x:v>
      </x:c>
      <x:c r="S50" s="12" t="str">
        <x:v>No</x:v>
      </x:c>
      <x:c r="T50" s="12" t="str">
        <x:v>No</x:v>
      </x:c>
      <x:c r="U50" s="12" t="n">
        <x:f>COUNTIF(N50:T50,"Yes")</x:f>
        <x:v>2</x:v>
      </x:c>
      <x:c r="V50" s="12" t="n">
        <x:f>COUNTIF(H50:J50,"&lt;&gt;Not publicly verified")</x:f>
        <x:v>0</x:v>
      </x:c>
      <x:c r="W50" s="12" t="str">
        <x:v>A</x:v>
      </x:c>
      <x:c r="X50" s="12" t="str">
        <x:v>High</x:v>
      </x:c>
      <x:c r="Y50" s="12" t="str">
        <x:v>Direct balustrade/pool fencing specialist</x:v>
      </x:c>
      <x:c r="Z50" s="12" t="str">
        <x:v>Northland &amp; Rodney</x:v>
      </x:c>
      <x:c r="AA50" s="12" t="str">
        <x:v>Bundles balustrades/pool fencing with louvre/outdoor-living systems; builder-led consultative positioning.</x:v>
      </x:c>
      <x:c r="AB50" s="12" t="str">
        <x:v>Watch outdoor-living bundles, lifestyle messaging and cross-sell between fencing, balustrades and louvres.</x:v>
      </x:c>
      <x:c r="AC50" s="12" t="str">
        <x:v>https://outdooredge.co.nz/</x:v>
      </x:c>
      <x:c r="AD50" s="12" t="str">
        <x:v>https://www.juralcobalustrades.co.nz/installers/</x:v>
      </x:c>
      <x:c r="AE50" s="18" t="n">
        <x:v>46255</x:v>
      </x:c>
    </x:row>
    <x:row r="51">
      <x:c r="A51" s="12" t="str">
        <x:v>Pane Free Glazing</x:v>
      </x:c>
      <x:c r="B51" s="12" t="str">
        <x:v>Not publicly verified</x:v>
      </x:c>
      <x:c r="C51" s="12" t="str">
        <x:v>16B Herekino Street, Central, Whangarei 0110</x:v>
      </x:c>
      <x:c r="D51" s="12" t="str">
        <x:v>Whangarei</x:v>
      </x:c>
      <x:c r="E51" s="12" t="str">
        <x:v>Northland</x:v>
      </x:c>
      <x:c r="F51" s="12" t="str">
        <x:v>021 029 80962</x:v>
      </x:c>
      <x:c r="G51" s="12" t="str">
        <x:v>Not publicly verified</x:v>
      </x:c>
      <x:c r="H51" s="12" t="str">
        <x:v>Not publicly verified</x:v>
      </x:c>
      <x:c r="I51" s="12" t="str">
        <x:v>Not publicly verified</x:v>
      </x:c>
      <x:c r="J51" s="12" t="str">
        <x:v>Not publicly verified</x:v>
      </x:c>
      <x:c r="K51" s="14" t="n">
        <x:v>5</x:v>
      </x:c>
      <x:c r="L51" s="16" t="n">
        <x:v>21</x:v>
      </x:c>
      <x:c r="M51" s="12" t="str">
        <x:v>Residential &amp; Commercial</x:v>
      </x:c>
      <x:c r="N51" s="12" t="str">
        <x:v>Unclear</x:v>
      </x:c>
      <x:c r="O51" s="12" t="str">
        <x:v>Unclear</x:v>
      </x:c>
      <x:c r="P51" s="12" t="str">
        <x:v>Unclear</x:v>
      </x:c>
      <x:c r="Q51" s="12" t="str">
        <x:v>Unclear</x:v>
      </x:c>
      <x:c r="R51" s="12" t="str">
        <x:v>Unclear</x:v>
      </x:c>
      <x:c r="S51" s="12" t="str">
        <x:v>Unclear</x:v>
      </x:c>
      <x:c r="T51" s="12" t="str">
        <x:v>Yes</x:v>
      </x:c>
      <x:c r="U51" s="12" t="n">
        <x:f>COUNTIF(N51:T51,"Yes")</x:f>
        <x:v>1</x:v>
      </x:c>
      <x:c r="V51" s="12" t="n">
        <x:f>COUNTIF(H51:J51,"&lt;&gt;Not publicly verified")</x:f>
        <x:v>0</x:v>
      </x:c>
      <x:c r="W51" s="12" t="str">
        <x:v>B</x:v>
      </x:c>
      <x:c r="X51" s="12" t="str">
        <x:v>Medium</x:v>
      </x:c>
      <x:c r="Y51" s="12" t="str">
        <x:v>Regional glazier</x:v>
      </x:c>
      <x:c r="Z51" s="12" t="str">
        <x:v>Northland</x:v>
      </x:c>
      <x:c r="AA51" s="12" t="str">
        <x:v>Strong rating and modern regional brand name; specialist overlap unverified.</x:v>
      </x:c>
      <x:c r="AB51" s="12" t="str">
        <x:v>Verify services/socials before recurring monitoring.</x:v>
      </x:c>
      <x:c r="AC51" s="12" t="str">
        <x:v>https://www.google.com/maps/search/?api=1&amp;query=Pane+Free+Glazing+Whangarei</x:v>
      </x:c>
      <x:c r="AD51" s="12" t="str">
        <x:v>Not publicly verified</x:v>
      </x:c>
      <x:c r="AE51" s="18" t="n">
        <x:v>46255</x:v>
      </x:c>
    </x:row>
    <x:row r="52">
      <x:c r="A52" s="12" t="str">
        <x:v>Balustrading and More</x:v>
      </x:c>
      <x:c r="B52" s="12" t="str">
        <x:v>https://www.balustradingandmore.co.nz/</x:v>
      </x:c>
      <x:c r="C52" s="12" t="str">
        <x:v>6/5 Colenso Street, Kamo, Whangarei 0112</x:v>
      </x:c>
      <x:c r="D52" s="12" t="str">
        <x:v>Whangarei</x:v>
      </x:c>
      <x:c r="E52" s="12" t="str">
        <x:v>Northland</x:v>
      </x:c>
      <x:c r="F52" s="12" t="str">
        <x:v>09 435 3089</x:v>
      </x:c>
      <x:c r="G52" s="12" t="str">
        <x:v>info@balustradingandmore.co.nz</x:v>
      </x:c>
      <x:c r="H52" s="12" t="str">
        <x:v>Not publicly verified</x:v>
      </x:c>
      <x:c r="I52" s="12" t="str">
        <x:v>Not publicly verified</x:v>
      </x:c>
      <x:c r="J52" s="12" t="str">
        <x:v>Not publicly verified</x:v>
      </x:c>
      <x:c r="K52" s="14" t="n">
        <x:v>5</x:v>
      </x:c>
      <x:c r="L52" s="16" t="n">
        <x:v>1</x:v>
      </x:c>
      <x:c r="M52" s="12" t="str">
        <x:v>Residential</x:v>
      </x:c>
      <x:c r="N52" s="12" t="str">
        <x:v>Yes</x:v>
      </x:c>
      <x:c r="O52" s="12" t="str">
        <x:v>Yes</x:v>
      </x:c>
      <x:c r="P52" s="12" t="str">
        <x:v>No</x:v>
      </x:c>
      <x:c r="Q52" s="12" t="str">
        <x:v>No</x:v>
      </x:c>
      <x:c r="R52" s="12" t="str">
        <x:v>No</x:v>
      </x:c>
      <x:c r="S52" s="12" t="str">
        <x:v>No</x:v>
      </x:c>
      <x:c r="T52" s="12" t="str">
        <x:v>No</x:v>
      </x:c>
      <x:c r="U52" s="12" t="n">
        <x:f>COUNTIF(N52:T52,"Yes")</x:f>
        <x:v>2</x:v>
      </x:c>
      <x:c r="V52" s="12" t="n">
        <x:f>COUNTIF(H52:J52,"&lt;&gt;Not publicly verified")</x:f>
        <x:v>0</x:v>
      </x:c>
      <x:c r="W52" s="12" t="str">
        <x:v>A</x:v>
      </x:c>
      <x:c r="X52" s="12" t="str">
        <x:v>High</x:v>
      </x:c>
      <x:c r="Y52" s="12" t="str">
        <x:v>Direct balustrade/pool specialist</x:v>
      </x:c>
      <x:c r="Z52" s="12" t="str">
        <x:v>Northland</x:v>
      </x:c>
      <x:c r="AA52" s="12" t="str">
        <x:v>Exact specialist overlap in glass/aluminium balustrades, gates and pool fencing.</x:v>
      </x:c>
      <x:c r="AB52" s="12" t="str">
        <x:v>Watch local specialist pricing, project types and pool-fence compliance messaging.</x:v>
      </x:c>
      <x:c r="AC52" s="12" t="str">
        <x:v>https://www.balustradingandmore.co.nz/</x:v>
      </x:c>
      <x:c r="AD52" s="12" t="str">
        <x:v>https://www.juralcobalustrades.co.nz/installers/</x:v>
      </x:c>
      <x:c r="AE52" s="18" t="n">
        <x:v>46255</x:v>
      </x:c>
    </x:row>
    <x:row r="53">
      <x:c r="A53" s="12" t="str">
        <x:v>Double Glazing and Glass Northland Ltd</x:v>
      </x:c>
      <x:c r="B53" s="12" t="str">
        <x:v>Not publicly verified</x:v>
      </x:c>
      <x:c r="C53" s="12" t="str">
        <x:v>17 South End Avenue, Raumanga, Whangarei 0110</x:v>
      </x:c>
      <x:c r="D53" s="12" t="str">
        <x:v>Whangarei</x:v>
      </x:c>
      <x:c r="E53" s="12" t="str">
        <x:v>Northland</x:v>
      </x:c>
      <x:c r="F53" s="12" t="str">
        <x:v>0800 368 253</x:v>
      </x:c>
      <x:c r="G53" s="12" t="str">
        <x:v>Not publicly verified</x:v>
      </x:c>
      <x:c r="H53" s="12" t="str">
        <x:v>Not publicly verified</x:v>
      </x:c>
      <x:c r="I53" s="12" t="str">
        <x:v>Not publicly verified</x:v>
      </x:c>
      <x:c r="J53" s="12" t="str">
        <x:v>Not publicly verified</x:v>
      </x:c>
      <x:c r="K53" s="14" t="n">
        <x:v>4.7</x:v>
      </x:c>
      <x:c r="L53" s="16" t="n">
        <x:v>32</x:v>
      </x:c>
      <x:c r="M53" s="12" t="str">
        <x:v>Residential &amp; Commercial</x:v>
      </x:c>
      <x:c r="N53" s="12" t="str">
        <x:v>Unclear</x:v>
      </x:c>
      <x:c r="O53" s="12" t="str">
        <x:v>Unclear</x:v>
      </x:c>
      <x:c r="P53" s="12" t="str">
        <x:v>Unclear</x:v>
      </x:c>
      <x:c r="Q53" s="12" t="str">
        <x:v>Unclear</x:v>
      </x:c>
      <x:c r="R53" s="12" t="str">
        <x:v>Unclear</x:v>
      </x:c>
      <x:c r="S53" s="12" t="str">
        <x:v>Unclear</x:v>
      </x:c>
      <x:c r="T53" s="12" t="str">
        <x:v>Yes</x:v>
      </x:c>
      <x:c r="U53" s="12" t="n">
        <x:f>COUNTIF(N53:T53,"Yes")</x:f>
        <x:v>1</x:v>
      </x:c>
      <x:c r="V53" s="12" t="n">
        <x:f>COUNTIF(H53:J53,"&lt;&gt;Not publicly verified")</x:f>
        <x:v>0</x:v>
      </x:c>
      <x:c r="W53" s="12" t="str">
        <x:v>C</x:v>
      </x:c>
      <x:c r="X53" s="12" t="str">
        <x:v>Low</x:v>
      </x:c>
      <x:c r="Y53" s="12" t="str">
        <x:v>Adjacent double-glazing/glass competitor</x:v>
      </x:c>
      <x:c r="Z53" s="12" t="str">
        <x:v>Northland</x:v>
      </x:c>
      <x:c r="AA53" s="12" t="str">
        <x:v>General/double glazing visibility rather than confirmed core-product overlap.</x:v>
      </x:c>
      <x:c r="AB53" s="12" t="str">
        <x:v>Local search benchmark; low priority for balustrade content monitoring.</x:v>
      </x:c>
      <x:c r="AC53" s="12" t="str">
        <x:v>https://www.google.com/maps/search/?api=1&amp;query=Double+Glazing+and+Glass+Northland</x:v>
      </x:c>
      <x:c r="AD53" s="12" t="str">
        <x:v>Not publicly verified</x:v>
      </x:c>
      <x:c r="AE53" s="18" t="n">
        <x:v>46255</x:v>
      </x:c>
    </x:row>
    <x:row r="54">
      <x:c r="A54" s="12" t="str">
        <x:v>The Glass Guys - Rotorua</x:v>
      </x:c>
      <x:c r="B54" s="12" t="str">
        <x:v>https://www.theglassguys.co.nz/</x:v>
      </x:c>
      <x:c r="C54" s="12" t="str">
        <x:v>21 Old Taupo Road, Mangakakahi, Rotorua 3015</x:v>
      </x:c>
      <x:c r="D54" s="12" t="str">
        <x:v>Rotorua</x:v>
      </x:c>
      <x:c r="E54" s="12" t="str">
        <x:v>Bay of Plenty</x:v>
      </x:c>
      <x:c r="F54" s="12" t="str">
        <x:v>0800 452 779 / 07 393 2389</x:v>
      </x:c>
      <x:c r="G54" s="12" t="str">
        <x:v>rotorua@theglassguys.co.nz</x:v>
      </x:c>
      <x:c r="H54" s="12" t="str">
        <x:v>Not publicly verified</x:v>
      </x:c>
      <x:c r="I54" s="12" t="str">
        <x:v>Not publicly verified</x:v>
      </x:c>
      <x:c r="J54" s="12" t="str">
        <x:v>Not publicly verified</x:v>
      </x:c>
      <x:c r="K54" s="14" t="n">
        <x:v>4.8</x:v>
      </x:c>
      <x:c r="L54" s="16" t="n">
        <x:v>157</x:v>
      </x:c>
      <x:c r="M54" s="12" t="str">
        <x:v>Residential &amp; Commercial</x:v>
      </x:c>
      <x:c r="N54" s="12" t="str">
        <x:v>Unclear</x:v>
      </x:c>
      <x:c r="O54" s="12" t="str">
        <x:v>Unclear</x:v>
      </x:c>
      <x:c r="P54" s="12" t="str">
        <x:v>Yes</x:v>
      </x:c>
      <x:c r="Q54" s="12" t="str">
        <x:v>Unclear</x:v>
      </x:c>
      <x:c r="R54" s="12" t="str">
        <x:v>Yes</x:v>
      </x:c>
      <x:c r="S54" s="12" t="str">
        <x:v>Yes</x:v>
      </x:c>
      <x:c r="T54" s="12" t="str">
        <x:v>Yes</x:v>
      </x:c>
      <x:c r="U54" s="12" t="n">
        <x:f>COUNTIF(N54:T54,"Yes")</x:f>
        <x:v>4</x:v>
      </x:c>
      <x:c r="V54" s="12" t="n">
        <x:f>COUNTIF(H54:J54,"&lt;&gt;Not publicly verified")</x:f>
        <x:v>0</x:v>
      </x:c>
      <x:c r="W54" s="12" t="str">
        <x:v>B</x:v>
      </x:c>
      <x:c r="X54" s="12" t="str">
        <x:v>Medium</x:v>
      </x:c>
      <x:c r="Y54" s="12" t="str">
        <x:v>Strong regional full-service glazier</x:v>
      </x:c>
      <x:c r="Z54" s="12" t="str">
        <x:v>Rotorua + Tauranga</x:v>
      </x:c>
      <x:c r="AA54" s="12" t="str">
        <x:v>Strong review authority; extensive splashback guidance and multi-location presence.</x:v>
      </x:c>
      <x:c r="AB54" s="12" t="str">
        <x:v>Benchmark educational product guides, showroom/sample experience and regional cross-location branding.</x:v>
      </x:c>
      <x:c r="AC54" s="12" t="str">
        <x:v>https://www.theglassguys.co.nz/</x:v>
      </x:c>
      <x:c r="AD54" s="12" t="str">
        <x:v>https://www.google.com/maps/search/?api=1&amp;query=The+Glass+Guys+Rotorua</x:v>
      </x:c>
      <x:c r="AE54" s="18" t="n">
        <x:v>46255</x:v>
      </x:c>
    </x:row>
    <x:row r="55">
      <x:c r="A55" s="12" t="str">
        <x:v>D &amp; J Josephs Glass</x:v>
      </x:c>
      <x:c r="B55" s="12" t="str">
        <x:v>Not publicly verified</x:v>
      </x:c>
      <x:c r="C55" s="12" t="str">
        <x:v>6 Alice Place, Hamurana 3072</x:v>
      </x:c>
      <x:c r="D55" s="12" t="str">
        <x:v>Rotorua</x:v>
      </x:c>
      <x:c r="E55" s="12" t="str">
        <x:v>Bay of Plenty</x:v>
      </x:c>
      <x:c r="F55" s="12" t="str">
        <x:v>027 291 1517</x:v>
      </x:c>
      <x:c r="G55" s="12" t="str">
        <x:v>Not publicly verified</x:v>
      </x:c>
      <x:c r="H55" s="12" t="str">
        <x:v>Not publicly verified</x:v>
      </x:c>
      <x:c r="I55" s="12" t="str">
        <x:v>Not publicly verified</x:v>
      </x:c>
      <x:c r="J55" s="12" t="str">
        <x:v>Not publicly verified</x:v>
      </x:c>
      <x:c r="K55" s="14" t="n">
        <x:v>5</x:v>
      </x:c>
      <x:c r="L55" s="16" t="n">
        <x:v>12</x:v>
      </x:c>
      <x:c r="M55" s="12" t="str">
        <x:v>Residential</x:v>
      </x:c>
      <x:c r="N55" s="12" t="str">
        <x:v>Unclear</x:v>
      </x:c>
      <x:c r="O55" s="12" t="str">
        <x:v>Unclear</x:v>
      </x:c>
      <x:c r="P55" s="12" t="str">
        <x:v>Unclear</x:v>
      </x:c>
      <x:c r="Q55" s="12" t="str">
        <x:v>Unclear</x:v>
      </x:c>
      <x:c r="R55" s="12" t="str">
        <x:v>Unclear</x:v>
      </x:c>
      <x:c r="S55" s="12" t="str">
        <x:v>Unclear</x:v>
      </x:c>
      <x:c r="T55" s="12" t="str">
        <x:v>Yes</x:v>
      </x:c>
      <x:c r="U55" s="12" t="n">
        <x:f>COUNTIF(N55:T55,"Yes")</x:f>
        <x:v>1</x:v>
      </x:c>
      <x:c r="V55" s="12" t="n">
        <x:f>COUNTIF(H55:J55,"&lt;&gt;Not publicly verified")</x:f>
        <x:v>0</x:v>
      </x:c>
      <x:c r="W55" s="12" t="str">
        <x:v>C</x:v>
      </x:c>
      <x:c r="X55" s="12" t="str">
        <x:v>Low</x:v>
      </x:c>
      <x:c r="Y55" s="12" t="str">
        <x:v>Regional glazier</x:v>
      </x:c>
      <x:c r="Z55" s="12" t="str">
        <x:v>Rotorua</x:v>
      </x:c>
      <x:c r="AA55" s="12" t="str">
        <x:v>Small local profile with strong rating.</x:v>
      </x:c>
      <x:c r="AB55" s="12" t="str">
        <x:v>Discovery-level only unless core product overlap emerges.</x:v>
      </x:c>
      <x:c r="AC55" s="12" t="str">
        <x:v>https://www.google.com/maps/search/?api=1&amp;query=D+and+J+Josephs+Glass+Rotorua</x:v>
      </x:c>
      <x:c r="AD55" s="12" t="str">
        <x:v>Not publicly verified</x:v>
      </x:c>
      <x:c r="AE55" s="18" t="n">
        <x:v>46255</x:v>
      </x:c>
    </x:row>
    <x:row r="56">
      <x:c r="A56" s="12" t="str">
        <x:v>Chris Smith Glass</x:v>
      </x:c>
      <x:c r="B56" s="12" t="str">
        <x:v>Not publicly verified</x:v>
      </x:c>
      <x:c r="C56" s="12" t="str">
        <x:v>91 Riri Street, Mangakakahi, Rotorua 3015</x:v>
      </x:c>
      <x:c r="D56" s="12" t="str">
        <x:v>Rotorua</x:v>
      </x:c>
      <x:c r="E56" s="12" t="str">
        <x:v>Bay of Plenty</x:v>
      </x:c>
      <x:c r="F56" s="12" t="str">
        <x:v>07 348 5038</x:v>
      </x:c>
      <x:c r="G56" s="12" t="str">
        <x:v>Not publicly verified</x:v>
      </x:c>
      <x:c r="H56" s="12" t="str">
        <x:v>Not publicly verified</x:v>
      </x:c>
      <x:c r="I56" s="12" t="str">
        <x:v>Not publicly verified</x:v>
      </x:c>
      <x:c r="J56" s="12" t="str">
        <x:v>Not publicly verified</x:v>
      </x:c>
      <x:c r="K56" s="14" t="n">
        <x:v>4.4</x:v>
      </x:c>
      <x:c r="L56" s="16" t="n">
        <x:v>81</x:v>
      </x:c>
      <x:c r="M56" s="12" t="str">
        <x:v>Residential &amp; Commercial</x:v>
      </x:c>
      <x:c r="N56" s="12" t="str">
        <x:v>Unclear</x:v>
      </x:c>
      <x:c r="O56" s="12" t="str">
        <x:v>Unclear</x:v>
      </x:c>
      <x:c r="P56" s="12" t="str">
        <x:v>Unclear</x:v>
      </x:c>
      <x:c r="Q56" s="12" t="str">
        <x:v>Unclear</x:v>
      </x:c>
      <x:c r="R56" s="12" t="str">
        <x:v>Unclear</x:v>
      </x:c>
      <x:c r="S56" s="12" t="str">
        <x:v>Unclear</x:v>
      </x:c>
      <x:c r="T56" s="12" t="str">
        <x:v>Yes</x:v>
      </x:c>
      <x:c r="U56" s="12" t="n">
        <x:f>COUNTIF(N56:T56,"Yes")</x:f>
        <x:v>1</x:v>
      </x:c>
      <x:c r="V56" s="12" t="n">
        <x:f>COUNTIF(H56:J56,"&lt;&gt;Not publicly verified")</x:f>
        <x:v>0</x:v>
      </x:c>
      <x:c r="W56" s="12" t="str">
        <x:v>B</x:v>
      </x:c>
      <x:c r="X56" s="12" t="str">
        <x:v>Medium</x:v>
      </x:c>
      <x:c r="Y56" s="12" t="str">
        <x:v>Regional glazier</x:v>
      </x:c>
      <x:c r="Z56" s="12" t="str">
        <x:v>Rotorua</x:v>
      </x:c>
      <x:c r="AA56" s="12" t="str">
        <x:v>Established local review footprint.</x:v>
      </x:c>
      <x:c r="AB56" s="12" t="str">
        <x:v>Regional local-search benchmark; verify specialist services.</x:v>
      </x:c>
      <x:c r="AC56" s="12" t="str">
        <x:v>https://www.google.com/maps/search/?api=1&amp;query=Chris+Smith+Glass+Rotorua</x:v>
      </x:c>
      <x:c r="AD56" s="12" t="str">
        <x:v>Not publicly verified</x:v>
      </x:c>
      <x:c r="AE56" s="18" t="n">
        <x:v>46255</x:v>
      </x:c>
    </x:row>
    <x:row r="57">
      <x:c r="A57" s="12" t="str">
        <x:v>National Glass Rotorua</x:v>
      </x:c>
      <x:c r="B57" s="12" t="str">
        <x:v>Not publicly verified</x:v>
      </x:c>
      <x:c r="C57" s="12" t="str">
        <x:v>63 Marguerita Street, Fenton Park, Rotorua 3010</x:v>
      </x:c>
      <x:c r="D57" s="12" t="str">
        <x:v>Rotorua</x:v>
      </x:c>
      <x:c r="E57" s="12" t="str">
        <x:v>Bay of Plenty</x:v>
      </x:c>
      <x:c r="F57" s="12" t="str">
        <x:v>07 348 1065</x:v>
      </x:c>
      <x:c r="G57" s="12" t="str">
        <x:v>Not publicly verified</x:v>
      </x:c>
      <x:c r="H57" s="12" t="str">
        <x:v>Not publicly verified</x:v>
      </x:c>
      <x:c r="I57" s="12" t="str">
        <x:v>Not publicly verified</x:v>
      </x:c>
      <x:c r="J57" s="12" t="str">
        <x:v>Not publicly verified</x:v>
      </x:c>
      <x:c r="K57" s="14" t="n">
        <x:v>4.3</x:v>
      </x:c>
      <x:c r="L57" s="16" t="n">
        <x:v>29</x:v>
      </x:c>
      <x:c r="M57" s="12" t="str">
        <x:v>Residential &amp; Commercial</x:v>
      </x:c>
      <x:c r="N57" s="12" t="str">
        <x:v>Unclear</x:v>
      </x:c>
      <x:c r="O57" s="12" t="str">
        <x:v>Unclear</x:v>
      </x:c>
      <x:c r="P57" s="12" t="str">
        <x:v>Unclear</x:v>
      </x:c>
      <x:c r="Q57" s="12" t="str">
        <x:v>Unclear</x:v>
      </x:c>
      <x:c r="R57" s="12" t="str">
        <x:v>Unclear</x:v>
      </x:c>
      <x:c r="S57" s="12" t="str">
        <x:v>Unclear</x:v>
      </x:c>
      <x:c r="T57" s="12" t="str">
        <x:v>Yes</x:v>
      </x:c>
      <x:c r="U57" s="12" t="n">
        <x:f>COUNTIF(N57:T57,"Yes")</x:f>
        <x:v>1</x:v>
      </x:c>
      <x:c r="V57" s="12" t="n">
        <x:f>COUNTIF(H57:J57,"&lt;&gt;Not publicly verified")</x:f>
        <x:v>0</x:v>
      </x:c>
      <x:c r="W57" s="12" t="str">
        <x:v>C</x:v>
      </x:c>
      <x:c r="X57" s="12" t="str">
        <x:v>Low</x:v>
      </x:c>
      <x:c r="Y57" s="12" t="str">
        <x:v>Regional glazier</x:v>
      </x:c>
      <x:c r="Z57" s="12" t="str">
        <x:v>Rotorua</x:v>
      </x:c>
      <x:c r="AA57" s="12" t="str">
        <x:v>General glazing visibility with moderate review base.</x:v>
      </x:c>
      <x:c r="AB57" s="12" t="str">
        <x:v>Low-priority discovery competitor.</x:v>
      </x:c>
      <x:c r="AC57" s="12" t="str">
        <x:v>https://www.google.com/maps/search/?api=1&amp;query=National+Glass+Rotorua</x:v>
      </x:c>
      <x:c r="AD57" s="12" t="str">
        <x:v>Not publicly verified</x:v>
      </x:c>
      <x:c r="AE57" s="18" t="n">
        <x:v>46255</x:v>
      </x:c>
    </x:row>
    <x:row r="58">
      <x:c r="A58" s="12" t="str">
        <x:v>Glass Inc</x:v>
      </x:c>
      <x:c r="B58" s="12" t="str">
        <x:v>https://glassinc.co.nz/</x:v>
      </x:c>
      <x:c r="C58" s="12" t="str">
        <x:v>589C Tremaine Avenue, Palmerston North 4410</x:v>
      </x:c>
      <x:c r="D58" s="12" t="str">
        <x:v>Palmerston North</x:v>
      </x:c>
      <x:c r="E58" s="12" t="str">
        <x:v>Manawatu-Whanganui</x:v>
      </x:c>
      <x:c r="F58" s="12" t="str">
        <x:v>0800 848 321</x:v>
      </x:c>
      <x:c r="G58" s="12" t="str">
        <x:v>info@glassinc.co.nz</x:v>
      </x:c>
      <x:c r="H58" s="12" t="str">
        <x:v>Not publicly verified</x:v>
      </x:c>
      <x:c r="I58" s="12" t="str">
        <x:v>Not publicly verified</x:v>
      </x:c>
      <x:c r="J58" s="12" t="str">
        <x:v>Not publicly verified</x:v>
      </x:c>
      <x:c r="K58" s="14" t="n">
        <x:v>4.9</x:v>
      </x:c>
      <x:c r="L58" s="16" t="n">
        <x:v>141</x:v>
      </x:c>
      <x:c r="M58" s="12" t="str">
        <x:v>Residential &amp; Commercial</x:v>
      </x:c>
      <x:c r="N58" s="12" t="str">
        <x:v>Unclear</x:v>
      </x:c>
      <x:c r="O58" s="12" t="str">
        <x:v>Unclear</x:v>
      </x:c>
      <x:c r="P58" s="12" t="str">
        <x:v>Unclear</x:v>
      </x:c>
      <x:c r="Q58" s="12" t="str">
        <x:v>Unclear</x:v>
      </x:c>
      <x:c r="R58" s="12" t="str">
        <x:v>Unclear</x:v>
      </x:c>
      <x:c r="S58" s="12" t="str">
        <x:v>Unclear</x:v>
      </x:c>
      <x:c r="T58" s="12" t="str">
        <x:v>Yes</x:v>
      </x:c>
      <x:c r="U58" s="12" t="n">
        <x:f>COUNTIF(N58:T58,"Yes")</x:f>
        <x:v>1</x:v>
      </x:c>
      <x:c r="V58" s="12" t="n">
        <x:f>COUNTIF(H58:J58,"&lt;&gt;Not publicly verified")</x:f>
        <x:v>0</x:v>
      </x:c>
      <x:c r="W58" s="12" t="str">
        <x:v>B</x:v>
      </x:c>
      <x:c r="X58" s="12" t="str">
        <x:v>Medium</x:v>
      </x:c>
      <x:c r="Y58" s="12" t="str">
        <x:v>Strong regional glazier</x:v>
      </x:c>
      <x:c r="Z58" s="12" t="str">
        <x:v>Manawatu</x:v>
      </x:c>
      <x:c r="AA58" s="12" t="str">
        <x:v>Strong local review authority; current website skewed to repair/window services.</x:v>
      </x:c>
      <x:c r="AB58" s="12" t="str">
        <x:v>Review/local SEO benchmark; specialist overlap needs verification.</x:v>
      </x:c>
      <x:c r="AC58" s="12" t="str">
        <x:v>https://glassinc.co.nz/</x:v>
      </x:c>
      <x:c r="AD58" s="12" t="str">
        <x:v>https://www.google.com/maps/search/?api=1&amp;query=Glass+Inc+Palmerston+North</x:v>
      </x:c>
      <x:c r="AE58" s="18" t="n">
        <x:v>46255</x:v>
      </x:c>
    </x:row>
    <x:row r="59">
      <x:c r="A59" s="12" t="str">
        <x:v>Hughes Glass</x:v>
      </x:c>
      <x:c r="B59" s="12" t="str">
        <x:v>Not publicly verified</x:v>
      </x:c>
      <x:c r="C59" s="12" t="str">
        <x:v>6 David Street, Palmerston North 4410</x:v>
      </x:c>
      <x:c r="D59" s="12" t="str">
        <x:v>Palmerston North</x:v>
      </x:c>
      <x:c r="E59" s="12" t="str">
        <x:v>Manawatu-Whanganui</x:v>
      </x:c>
      <x:c r="F59" s="12" t="str">
        <x:v>06 358 4308</x:v>
      </x:c>
      <x:c r="G59" s="12" t="str">
        <x:v>dave@hughesglass.co.nz</x:v>
      </x:c>
      <x:c r="H59" s="12" t="str">
        <x:v>Not publicly verified</x:v>
      </x:c>
      <x:c r="I59" s="12" t="str">
        <x:v>Not publicly verified</x:v>
      </x:c>
      <x:c r="J59" s="12" t="str">
        <x:v>Not publicly verified</x:v>
      </x:c>
      <x:c r="K59" s="14" t="n">
        <x:v>5</x:v>
      </x:c>
      <x:c r="L59" s="16" t="n">
        <x:v>21</x:v>
      </x:c>
      <x:c r="M59" s="12" t="str">
        <x:v>Residential &amp; Commercial</x:v>
      </x:c>
      <x:c r="N59" s="12" t="str">
        <x:v>Yes</x:v>
      </x:c>
      <x:c r="O59" s="12" t="str">
        <x:v>Yes</x:v>
      </x:c>
      <x:c r="P59" s="12" t="str">
        <x:v>Yes</x:v>
      </x:c>
      <x:c r="Q59" s="12" t="str">
        <x:v>Yes</x:v>
      </x:c>
      <x:c r="R59" s="12" t="str">
        <x:v>Yes</x:v>
      </x:c>
      <x:c r="S59" s="12" t="str">
        <x:v>Yes</x:v>
      </x:c>
      <x:c r="T59" s="12" t="str">
        <x:v>Yes</x:v>
      </x:c>
      <x:c r="U59" s="12" t="n">
        <x:f>COUNTIF(N59:T59,"Yes")</x:f>
        <x:v>7</x:v>
      </x:c>
      <x:c r="V59" s="12" t="n">
        <x:f>COUNTIF(H59:J59,"&lt;&gt;Not publicly verified")</x:f>
        <x:v>0</x:v>
      </x:c>
      <x:c r="W59" s="12" t="str">
        <x:v>A</x:v>
      </x:c>
      <x:c r="X59" s="12" t="str">
        <x:v>High</x:v>
      </x:c>
      <x:c r="Y59" s="12" t="str">
        <x:v>Direct regional full-service competitor</x:v>
      </x:c>
      <x:c r="Z59" s="12" t="str">
        <x:v>Manawatu</x:v>
      </x:c>
      <x:c r="AA59" s="12" t="str">
        <x:v>WGANZ-listed broad service mix closely matching Royal Glass.</x:v>
      </x:c>
      <x:c r="AB59" s="12" t="str">
        <x:v>High-priority service-overlap competitor despite lighter public web footprint.</x:v>
      </x:c>
      <x:c r="AC59" s="12" t="str">
        <x:v>https://www.wganz.org.nz/find-member/search-results/</x:v>
      </x:c>
      <x:c r="AD59" s="12" t="str">
        <x:v>https://www.google.com/maps/search/?api=1&amp;query=Hughes+Glass+Palmerston+North</x:v>
      </x:c>
      <x:c r="AE59" s="18" t="n">
        <x:v>46255</x:v>
      </x:c>
    </x:row>
    <x:row r="60">
      <x:c r="A60" s="12" t="str">
        <x:v>Central Glass &amp; Aluminium Ltd</x:v>
      </x:c>
      <x:c r="B60" s="12" t="str">
        <x:v>https://cggl.co.nz/</x:v>
      </x:c>
      <x:c r="C60" s="12" t="str">
        <x:v>713 Tremaine Avenue, Palmerston North 4410</x:v>
      </x:c>
      <x:c r="D60" s="12" t="str">
        <x:v>Palmerston North</x:v>
      </x:c>
      <x:c r="E60" s="12" t="str">
        <x:v>Manawatu-Whanganui</x:v>
      </x:c>
      <x:c r="F60" s="12" t="str">
        <x:v>06 355 0202</x:v>
      </x:c>
      <x:c r="G60" s="12" t="str">
        <x:v>glass@cggl.co.nz</x:v>
      </x:c>
      <x:c r="H60" s="12" t="str">
        <x:v>Not publicly verified</x:v>
      </x:c>
      <x:c r="I60" s="12" t="str">
        <x:v>Not publicly verified</x:v>
      </x:c>
      <x:c r="J60" s="12" t="str">
        <x:v>Not publicly verified</x:v>
      </x:c>
      <x:c r="K60" s="14" t="n">
        <x:v>4.2</x:v>
      </x:c>
      <x:c r="L60" s="16" t="n">
        <x:v>27</x:v>
      </x:c>
      <x:c r="M60" s="12" t="str">
        <x:v>Residential &amp; Commercial</x:v>
      </x:c>
      <x:c r="N60" s="12" t="str">
        <x:v>Yes</x:v>
      </x:c>
      <x:c r="O60" s="12" t="str">
        <x:v>Yes</x:v>
      </x:c>
      <x:c r="P60" s="12" t="str">
        <x:v>Yes</x:v>
      </x:c>
      <x:c r="Q60" s="12" t="str">
        <x:v>Unclear</x:v>
      </x:c>
      <x:c r="R60" s="12" t="str">
        <x:v>Unclear</x:v>
      </x:c>
      <x:c r="S60" s="12" t="str">
        <x:v>Yes</x:v>
      </x:c>
      <x:c r="T60" s="12" t="str">
        <x:v>Yes</x:v>
      </x:c>
      <x:c r="U60" s="12" t="n">
        <x:f>COUNTIF(N60:T60,"Yes")</x:f>
        <x:v>5</x:v>
      </x:c>
      <x:c r="V60" s="12" t="n">
        <x:f>COUNTIF(H60:J60,"&lt;&gt;Not publicly verified")</x:f>
        <x:v>0</x:v>
      </x:c>
      <x:c r="W60" s="12" t="str">
        <x:v>A</x:v>
      </x:c>
      <x:c r="X60" s="12" t="str">
        <x:v>High</x:v>
      </x:c>
      <x:c r="Y60" s="12" t="str">
        <x:v>Direct regional glass/aluminium competitor</x:v>
      </x:c>
      <x:c r="Z60" s="12" t="str">
        <x:v>Manawatu</x:v>
      </x:c>
      <x:c r="AA60" s="12" t="str">
        <x:v>Approved balustrade installer network presence plus broad glass/aluminium offering.</x:v>
      </x:c>
      <x:c r="AB60" s="12" t="str">
        <x:v>Monitor installer-network credibility, systems offered and regional B2B acquisition.</x:v>
      </x:c>
      <x:c r="AC60" s="12" t="str">
        <x:v>https://cggl.co.nz/</x:v>
      </x:c>
      <x:c r="AD60" s="12" t="str">
        <x:v>https://www.juralcobalustrades.co.nz/installers/</x:v>
      </x:c>
      <x:c r="AE60" s="18" t="n">
        <x:v>46255</x:v>
      </x:c>
    </x:row>
    <x:row r="61">
      <x:c r="A61" s="12" t="str">
        <x:v>Get Glazed Ltd / HomePlus Whanganui</x:v>
      </x:c>
      <x:c r="B61" s="12" t="str">
        <x:v>https://www.homeplus.co.nz/find-us/whanganui/</x:v>
      </x:c>
      <x:c r="C61" s="12" t="str">
        <x:v>295 Heads Road, Castlecliff, Whanganui 4500</x:v>
      </x:c>
      <x:c r="D61" s="12" t="str">
        <x:v>Whanganui</x:v>
      </x:c>
      <x:c r="E61" s="12" t="str">
        <x:v>Manawatu-Whanganui</x:v>
      </x:c>
      <x:c r="F61" s="12" t="str">
        <x:v>06 345 0447</x:v>
      </x:c>
      <x:c r="G61" s="12" t="str">
        <x:v>wanganui@homeplus.co.nz</x:v>
      </x:c>
      <x:c r="H61" s="12" t="str">
        <x:v>Not publicly verified</x:v>
      </x:c>
      <x:c r="I61" s="12" t="str">
        <x:v>Not publicly verified</x:v>
      </x:c>
      <x:c r="J61" s="12" t="str">
        <x:v>Not publicly verified</x:v>
      </x:c>
      <x:c r="K61" s="14"/>
      <x:c r="L61" s="16" t="n">
        <x:v>0</x:v>
      </x:c>
      <x:c r="M61" s="12" t="str">
        <x:v>Residential &amp; Commercial</x:v>
      </x:c>
      <x:c r="N61" s="12" t="str">
        <x:v>Yes</x:v>
      </x:c>
      <x:c r="O61" s="12" t="str">
        <x:v>Yes</x:v>
      </x:c>
      <x:c r="P61" s="12" t="str">
        <x:v>Yes</x:v>
      </x:c>
      <x:c r="Q61" s="12" t="str">
        <x:v>Unclear</x:v>
      </x:c>
      <x:c r="R61" s="12" t="str">
        <x:v>Yes</x:v>
      </x:c>
      <x:c r="S61" s="12" t="str">
        <x:v>Yes</x:v>
      </x:c>
      <x:c r="T61" s="12" t="str">
        <x:v>Yes</x:v>
      </x:c>
      <x:c r="U61" s="12" t="n">
        <x:f>COUNTIF(N61:T61,"Yes")</x:f>
        <x:v>6</x:v>
      </x:c>
      <x:c r="V61" s="12" t="n">
        <x:f>COUNTIF(H61:J61,"&lt;&gt;Not publicly verified")</x:f>
        <x:v>0</x:v>
      </x:c>
      <x:c r="W61" s="12" t="str">
        <x:v>A</x:v>
      </x:c>
      <x:c r="X61" s="12" t="str">
        <x:v>High</x:v>
      </x:c>
      <x:c r="Y61" s="12" t="str">
        <x:v>Direct glass/joinery/balustrade competitor</x:v>
      </x:c>
      <x:c r="Z61" s="12" t="str">
        <x:v>Whanganui</x:v>
      </x:c>
      <x:c r="AA61" s="12" t="str">
        <x:v>HomePlus/Juralco ecosystem gives strong system, compliance and product-network credibility.</x:v>
      </x:c>
      <x:c r="AB61" s="12" t="str">
        <x:v>Track supplier-network leverage, product bundles, technical documentation and local franchise marketing.</x:v>
      </x:c>
      <x:c r="AC61" s="12" t="str">
        <x:v>https://www.homeplus.co.nz/find-us/whanganui/</x:v>
      </x:c>
      <x:c r="AD61" s="12" t="str">
        <x:v>https://www.juralcobalustrades.co.nz/installers/</x:v>
      </x:c>
      <x:c r="AE61" s="18" t="n">
        <x:v>46255</x:v>
      </x:c>
    </x:row>
    <x:row r="62">
      <x:c r="A62" s="12" t="str">
        <x:v>Horizon Glass</x:v>
      </x:c>
      <x:c r="B62" s="12" t="str">
        <x:v>Not publicly verified</x:v>
      </x:c>
      <x:c r="C62" s="12" t="str">
        <x:v>118A Main Road, Fairfield, Dunedin 9018</x:v>
      </x:c>
      <x:c r="D62" s="12" t="str">
        <x:v>Dunedin</x:v>
      </x:c>
      <x:c r="E62" s="12" t="str">
        <x:v>Otago</x:v>
      </x:c>
      <x:c r="F62" s="12" t="str">
        <x:v>022 198 0570</x:v>
      </x:c>
      <x:c r="G62" s="12" t="str">
        <x:v>Not publicly verified</x:v>
      </x:c>
      <x:c r="H62" s="12" t="str">
        <x:v>Not publicly verified</x:v>
      </x:c>
      <x:c r="I62" s="12" t="str">
        <x:v>Not publicly verified</x:v>
      </x:c>
      <x:c r="J62" s="12" t="str">
        <x:v>Not publicly verified</x:v>
      </x:c>
      <x:c r="K62" s="14" t="n">
        <x:v>5</x:v>
      </x:c>
      <x:c r="L62" s="16" t="n">
        <x:v>40</x:v>
      </x:c>
      <x:c r="M62" s="12" t="str">
        <x:v>Residential &amp; Commercial</x:v>
      </x:c>
      <x:c r="N62" s="12" t="str">
        <x:v>Unclear</x:v>
      </x:c>
      <x:c r="O62" s="12" t="str">
        <x:v>Unclear</x:v>
      </x:c>
      <x:c r="P62" s="12" t="str">
        <x:v>Unclear</x:v>
      </x:c>
      <x:c r="Q62" s="12" t="str">
        <x:v>Unclear</x:v>
      </x:c>
      <x:c r="R62" s="12" t="str">
        <x:v>Unclear</x:v>
      </x:c>
      <x:c r="S62" s="12" t="str">
        <x:v>Unclear</x:v>
      </x:c>
      <x:c r="T62" s="12" t="str">
        <x:v>Yes</x:v>
      </x:c>
      <x:c r="U62" s="12" t="n">
        <x:f>COUNTIF(N62:T62,"Yes")</x:f>
        <x:v>1</x:v>
      </x:c>
      <x:c r="V62" s="12" t="n">
        <x:f>COUNTIF(H62:J62,"&lt;&gt;Not publicly verified")</x:f>
        <x:v>0</x:v>
      </x:c>
      <x:c r="W62" s="12" t="str">
        <x:v>B</x:v>
      </x:c>
      <x:c r="X62" s="12" t="str">
        <x:v>Medium</x:v>
      </x:c>
      <x:c r="Y62" s="12" t="str">
        <x:v>Regional glazier</x:v>
      </x:c>
      <x:c r="Z62" s="12" t="str">
        <x:v>Otago</x:v>
      </x:c>
      <x:c r="AA62" s="12" t="str">
        <x:v>Perfect local rating with useful review base.</x:v>
      </x:c>
      <x:c r="AB62" s="12" t="str">
        <x:v>Verify core-service overlap; potential Dunedin review/SEO benchmark.</x:v>
      </x:c>
      <x:c r="AC62" s="12" t="str">
        <x:v>https://www.google.com/maps/search/?api=1&amp;query=Horizon+Glass+Dunedin</x:v>
      </x:c>
      <x:c r="AD62" s="12" t="str">
        <x:v>Not publicly verified</x:v>
      </x:c>
      <x:c r="AE62" s="18" t="n">
        <x:v>46255</x:v>
      </x:c>
    </x:row>
    <x:row r="63">
      <x:c r="A63" s="12" t="str">
        <x:v>Clarity Glass Otago</x:v>
      </x:c>
      <x:c r="B63" s="12" t="str">
        <x:v>Not publicly verified</x:v>
      </x:c>
      <x:c r="C63" s="12" t="str">
        <x:v>38A Paterson Road, Mosgiel, Dunedin 9092</x:v>
      </x:c>
      <x:c r="D63" s="12" t="str">
        <x:v>Dunedin / Mosgiel</x:v>
      </x:c>
      <x:c r="E63" s="12" t="str">
        <x:v>Otago</x:v>
      </x:c>
      <x:c r="F63" s="12" t="str">
        <x:v>027 844 7166</x:v>
      </x:c>
      <x:c r="G63" s="12" t="str">
        <x:v>Not publicly verified</x:v>
      </x:c>
      <x:c r="H63" s="12" t="str">
        <x:v>Not publicly verified</x:v>
      </x:c>
      <x:c r="I63" s="12" t="str">
        <x:v>Not publicly verified</x:v>
      </x:c>
      <x:c r="J63" s="12" t="str">
        <x:v>Not publicly verified</x:v>
      </x:c>
      <x:c r="K63" s="14" t="n">
        <x:v>5</x:v>
      </x:c>
      <x:c r="L63" s="16" t="n">
        <x:v>15</x:v>
      </x:c>
      <x:c r="M63" s="12" t="str">
        <x:v>Residential &amp; Commercial</x:v>
      </x:c>
      <x:c r="N63" s="12" t="str">
        <x:v>Unclear</x:v>
      </x:c>
      <x:c r="O63" s="12" t="str">
        <x:v>Unclear</x:v>
      </x:c>
      <x:c r="P63" s="12" t="str">
        <x:v>Unclear</x:v>
      </x:c>
      <x:c r="Q63" s="12" t="str">
        <x:v>Unclear</x:v>
      </x:c>
      <x:c r="R63" s="12" t="str">
        <x:v>Unclear</x:v>
      </x:c>
      <x:c r="S63" s="12" t="str">
        <x:v>Unclear</x:v>
      </x:c>
      <x:c r="T63" s="12" t="str">
        <x:v>Yes</x:v>
      </x:c>
      <x:c r="U63" s="12" t="n">
        <x:f>COUNTIF(N63:T63,"Yes")</x:f>
        <x:v>1</x:v>
      </x:c>
      <x:c r="V63" s="12" t="n">
        <x:f>COUNTIF(H63:J63,"&lt;&gt;Not publicly verified")</x:f>
        <x:v>0</x:v>
      </x:c>
      <x:c r="W63" s="12" t="str">
        <x:v>B</x:v>
      </x:c>
      <x:c r="X63" s="12" t="str">
        <x:v>Medium</x:v>
      </x:c>
      <x:c r="Y63" s="12" t="str">
        <x:v>Regional glazier</x:v>
      </x:c>
      <x:c r="Z63" s="12" t="str">
        <x:v>Otago</x:v>
      </x:c>
      <x:c r="AA63" s="12" t="str">
        <x:v>Modern regional brand with excellent rating.</x:v>
      </x:c>
      <x:c r="AB63" s="12" t="str">
        <x:v>Verify service categories and visual/social marketing.</x:v>
      </x:c>
      <x:c r="AC63" s="12" t="str">
        <x:v>https://www.google.com/maps/search/?api=1&amp;query=Clarity+Glass+Otago</x:v>
      </x:c>
      <x:c r="AD63" s="12" t="str">
        <x:v>Not publicly verified</x:v>
      </x:c>
      <x:c r="AE63" s="18" t="n">
        <x:v>46255</x:v>
      </x:c>
    </x:row>
    <x:row r="64">
      <x:c r="A64" s="12" t="str">
        <x:v>Dunedin Glass</x:v>
      </x:c>
      <x:c r="B64" s="12" t="str">
        <x:v>Not publicly verified</x:v>
      </x:c>
      <x:c r="C64" s="12" t="str">
        <x:v>8 David Street, Caversham, Dunedin 9012</x:v>
      </x:c>
      <x:c r="D64" s="12" t="str">
        <x:v>Dunedin</x:v>
      </x:c>
      <x:c r="E64" s="12" t="str">
        <x:v>Otago</x:v>
      </x:c>
      <x:c r="F64" s="12" t="str">
        <x:v>03 455 3030</x:v>
      </x:c>
      <x:c r="G64" s="12" t="str">
        <x:v>Not publicly verified</x:v>
      </x:c>
      <x:c r="H64" s="12" t="str">
        <x:v>Not publicly verified</x:v>
      </x:c>
      <x:c r="I64" s="12" t="str">
        <x:v>Not publicly verified</x:v>
      </x:c>
      <x:c r="J64" s="12" t="str">
        <x:v>Not publicly verified</x:v>
      </x:c>
      <x:c r="K64" s="14" t="n">
        <x:v>4.9</x:v>
      </x:c>
      <x:c r="L64" s="16" t="n">
        <x:v>38</x:v>
      </x:c>
      <x:c r="M64" s="12" t="str">
        <x:v>Residential &amp; Commercial</x:v>
      </x:c>
      <x:c r="N64" s="12" t="str">
        <x:v>Unclear</x:v>
      </x:c>
      <x:c r="O64" s="12" t="str">
        <x:v>Unclear</x:v>
      </x:c>
      <x:c r="P64" s="12" t="str">
        <x:v>Unclear</x:v>
      </x:c>
      <x:c r="Q64" s="12" t="str">
        <x:v>Unclear</x:v>
      </x:c>
      <x:c r="R64" s="12" t="str">
        <x:v>Unclear</x:v>
      </x:c>
      <x:c r="S64" s="12" t="str">
        <x:v>Unclear</x:v>
      </x:c>
      <x:c r="T64" s="12" t="str">
        <x:v>Yes</x:v>
      </x:c>
      <x:c r="U64" s="12" t="n">
        <x:f>COUNTIF(N64:T64,"Yes")</x:f>
        <x:v>1</x:v>
      </x:c>
      <x:c r="V64" s="12" t="n">
        <x:f>COUNTIF(H64:J64,"&lt;&gt;Not publicly verified")</x:f>
        <x:v>0</x:v>
      </x:c>
      <x:c r="W64" s="12" t="str">
        <x:v>B</x:v>
      </x:c>
      <x:c r="X64" s="12" t="str">
        <x:v>Medium</x:v>
      </x:c>
      <x:c r="Y64" s="12" t="str">
        <x:v>Regional glazier</x:v>
      </x:c>
      <x:c r="Z64" s="12" t="str">
        <x:v>Otago</x:v>
      </x:c>
      <x:c r="AA64" s="12" t="str">
        <x:v>Strong rating and established local brand.</x:v>
      </x:c>
      <x:c r="AB64" s="12" t="str">
        <x:v>Regional SEO/review benchmark; verify architectural-glass overlap.</x:v>
      </x:c>
      <x:c r="AC64" s="12" t="str">
        <x:v>https://www.google.com/maps/search/?api=1&amp;query=Dunedin+Glass</x:v>
      </x:c>
      <x:c r="AD64" s="12" t="str">
        <x:v>Not publicly verified</x:v>
      </x:c>
      <x:c r="AE64" s="18" t="n">
        <x:v>46255</x:v>
      </x:c>
    </x:row>
    <x:row r="65">
      <x:c r="A65" s="12" t="str">
        <x:v>Otago Glass Ltd</x:v>
      </x:c>
      <x:c r="B65" s="12" t="str">
        <x:v>Not publicly verified</x:v>
      </x:c>
      <x:c r="C65" s="12" t="str">
        <x:v>18 Otaki Street, South Dunedin, Dunedin 9012</x:v>
      </x:c>
      <x:c r="D65" s="12" t="str">
        <x:v>Dunedin</x:v>
      </x:c>
      <x:c r="E65" s="12" t="str">
        <x:v>Otago</x:v>
      </x:c>
      <x:c r="F65" s="12" t="str">
        <x:v>03 477 4915</x:v>
      </x:c>
      <x:c r="G65" s="12" t="str">
        <x:v>Not publicly verified</x:v>
      </x:c>
      <x:c r="H65" s="12" t="str">
        <x:v>Not publicly verified</x:v>
      </x:c>
      <x:c r="I65" s="12" t="str">
        <x:v>Not publicly verified</x:v>
      </x:c>
      <x:c r="J65" s="12" t="str">
        <x:v>Not publicly verified</x:v>
      </x:c>
      <x:c r="K65" s="14" t="n">
        <x:v>4.9</x:v>
      </x:c>
      <x:c r="L65" s="16" t="n">
        <x:v>40</x:v>
      </x:c>
      <x:c r="M65" s="12" t="str">
        <x:v>Residential &amp; Commercial</x:v>
      </x:c>
      <x:c r="N65" s="12" t="str">
        <x:v>Unclear</x:v>
      </x:c>
      <x:c r="O65" s="12" t="str">
        <x:v>Unclear</x:v>
      </x:c>
      <x:c r="P65" s="12" t="str">
        <x:v>Unclear</x:v>
      </x:c>
      <x:c r="Q65" s="12" t="str">
        <x:v>Unclear</x:v>
      </x:c>
      <x:c r="R65" s="12" t="str">
        <x:v>Unclear</x:v>
      </x:c>
      <x:c r="S65" s="12" t="str">
        <x:v>Unclear</x:v>
      </x:c>
      <x:c r="T65" s="12" t="str">
        <x:v>Yes</x:v>
      </x:c>
      <x:c r="U65" s="12" t="n">
        <x:f>COUNTIF(N65:T65,"Yes")</x:f>
        <x:v>1</x:v>
      </x:c>
      <x:c r="V65" s="12" t="n">
        <x:f>COUNTIF(H65:J65,"&lt;&gt;Not publicly verified")</x:f>
        <x:v>0</x:v>
      </x:c>
      <x:c r="W65" s="12" t="str">
        <x:v>B</x:v>
      </x:c>
      <x:c r="X65" s="12" t="str">
        <x:v>Medium</x:v>
      </x:c>
      <x:c r="Y65" s="12" t="str">
        <x:v>Regional glazier</x:v>
      </x:c>
      <x:c r="Z65" s="12" t="str">
        <x:v>Otago</x:v>
      </x:c>
      <x:c r="AA65" s="12" t="str">
        <x:v>Strong local rating; product overlap unverified.</x:v>
      </x:c>
      <x:c r="AB65" s="12" t="str">
        <x:v>Regional search/reviews benchmark.</x:v>
      </x:c>
      <x:c r="AC65" s="12" t="str">
        <x:v>https://www.google.com/maps/search/?api=1&amp;query=Otago+Glass+Ltd+Dunedin</x:v>
      </x:c>
      <x:c r="AD65" s="12" t="str">
        <x:v>Not publicly verified</x:v>
      </x:c>
      <x:c r="AE65" s="18" t="n">
        <x:v>46255</x:v>
      </x:c>
    </x:row>
    <x:row r="66">
      <x:c r="A66" s="12" t="str">
        <x:v>Aburns Glass 2005 Ltd</x:v>
      </x:c>
      <x:c r="B66" s="12" t="str">
        <x:v>Not publicly verified</x:v>
      </x:c>
      <x:c r="C66" s="12" t="str">
        <x:v>45 Otaki Street, South Dunedin, Dunedin 9012</x:v>
      </x:c>
      <x:c r="D66" s="12" t="str">
        <x:v>Dunedin</x:v>
      </x:c>
      <x:c r="E66" s="12" t="str">
        <x:v>Otago</x:v>
      </x:c>
      <x:c r="F66" s="12" t="str">
        <x:v>03 455 6134</x:v>
      </x:c>
      <x:c r="G66" s="12" t="str">
        <x:v>Not publicly verified</x:v>
      </x:c>
      <x:c r="H66" s="12" t="str">
        <x:v>Not publicly verified</x:v>
      </x:c>
      <x:c r="I66" s="12" t="str">
        <x:v>Not publicly verified</x:v>
      </x:c>
      <x:c r="J66" s="12" t="str">
        <x:v>Not publicly verified</x:v>
      </x:c>
      <x:c r="K66" s="14" t="n">
        <x:v>4.8</x:v>
      </x:c>
      <x:c r="L66" s="16" t="n">
        <x:v>55</x:v>
      </x:c>
      <x:c r="M66" s="12" t="str">
        <x:v>Residential / Automotive</x:v>
      </x:c>
      <x:c r="N66" s="12" t="str">
        <x:v>Unclear</x:v>
      </x:c>
      <x:c r="O66" s="12" t="str">
        <x:v>Unclear</x:v>
      </x:c>
      <x:c r="P66" s="12" t="str">
        <x:v>Unclear</x:v>
      </x:c>
      <x:c r="Q66" s="12" t="str">
        <x:v>Unclear</x:v>
      </x:c>
      <x:c r="R66" s="12" t="str">
        <x:v>Unclear</x:v>
      </x:c>
      <x:c r="S66" s="12" t="str">
        <x:v>Unclear</x:v>
      </x:c>
      <x:c r="T66" s="12" t="str">
        <x:v>Yes</x:v>
      </x:c>
      <x:c r="U66" s="12" t="n">
        <x:f>COUNTIF(N66:T66,"Yes")</x:f>
        <x:v>1</x:v>
      </x:c>
      <x:c r="V66" s="12" t="n">
        <x:f>COUNTIF(H66:J66,"&lt;&gt;Not publicly verified")</x:f>
        <x:v>0</x:v>
      </x:c>
      <x:c r="W66" s="12" t="str">
        <x:v>C</x:v>
      </x:c>
      <x:c r="X66" s="12" t="str">
        <x:v>Low</x:v>
      </x:c>
      <x:c r="Y66" s="12" t="str">
        <x:v>Adjacent mixed glass competitor</x:v>
      </x:c>
      <x:c r="Z66" s="12" t="str">
        <x:v>Otago</x:v>
      </x:c>
      <x:c r="AA66" s="12" t="str">
        <x:v>General and automotive glass mix reduces direct relevance.</x:v>
      </x:c>
      <x:c r="AB66" s="12" t="str">
        <x:v>Low priority except general local-search benchmarking.</x:v>
      </x:c>
      <x:c r="AC66" s="12" t="str">
        <x:v>https://www.google.com/maps/search/?api=1&amp;query=Aburns+Glass+Dunedin</x:v>
      </x:c>
      <x:c r="AD66" s="12" t="str">
        <x:v>Not publicly verified</x:v>
      </x:c>
      <x:c r="AE66" s="18" t="n">
        <x:v>46255</x:v>
      </x:c>
    </x:row>
    <x:row r="67">
      <x:c r="A67" s="12" t="str">
        <x:v>Remarkable Glass Ltd</x:v>
      </x:c>
      <x:c r="B67" s="12" t="str">
        <x:v>Not publicly verified</x:v>
      </x:c>
      <x:c r="C67" s="12" t="str">
        <x:v>157 Glenda Drive, Frankton, Queenstown 9300</x:v>
      </x:c>
      <x:c r="D67" s="12" t="str">
        <x:v>Queenstown</x:v>
      </x:c>
      <x:c r="E67" s="12" t="str">
        <x:v>Otago</x:v>
      </x:c>
      <x:c r="F67" s="12" t="str">
        <x:v>03 451 0002</x:v>
      </x:c>
      <x:c r="G67" s="12" t="str">
        <x:v>Not publicly verified</x:v>
      </x:c>
      <x:c r="H67" s="12" t="str">
        <x:v>Not publicly verified</x:v>
      </x:c>
      <x:c r="I67" s="12" t="str">
        <x:v>Not publicly verified</x:v>
      </x:c>
      <x:c r="J67" s="12" t="str">
        <x:v>Not publicly verified</x:v>
      </x:c>
      <x:c r="K67" s="14" t="n">
        <x:v>4.9</x:v>
      </x:c>
      <x:c r="L67" s="16" t="n">
        <x:v>15</x:v>
      </x:c>
      <x:c r="M67" s="12" t="str">
        <x:v>Residential &amp; Commercial</x:v>
      </x:c>
      <x:c r="N67" s="12" t="str">
        <x:v>Unclear</x:v>
      </x:c>
      <x:c r="O67" s="12" t="str">
        <x:v>Unclear</x:v>
      </x:c>
      <x:c r="P67" s="12" t="str">
        <x:v>Unclear</x:v>
      </x:c>
      <x:c r="Q67" s="12" t="str">
        <x:v>Unclear</x:v>
      </x:c>
      <x:c r="R67" s="12" t="str">
        <x:v>Unclear</x:v>
      </x:c>
      <x:c r="S67" s="12" t="str">
        <x:v>Unclear</x:v>
      </x:c>
      <x:c r="T67" s="12" t="str">
        <x:v>Yes</x:v>
      </x:c>
      <x:c r="U67" s="12" t="n">
        <x:f>COUNTIF(N67:T67,"Yes")</x:f>
        <x:v>1</x:v>
      </x:c>
      <x:c r="V67" s="12" t="n">
        <x:f>COUNTIF(H67:J67,"&lt;&gt;Not publicly verified")</x:f>
        <x:v>0</x:v>
      </x:c>
      <x:c r="W67" s="12" t="str">
        <x:v>B</x:v>
      </x:c>
      <x:c r="X67" s="12" t="str">
        <x:v>Medium</x:v>
      </x:c>
      <x:c r="Y67" s="12" t="str">
        <x:v>Regional architectural glass candidate</x:v>
      </x:c>
      <x:c r="Z67" s="12" t="str">
        <x:v>Queenstown / Central Otago</x:v>
      </x:c>
      <x:c r="AA67" s="12" t="str">
        <x:v>Premium-market location and strong rating.</x:v>
      </x:c>
      <x:c r="AB67" s="12" t="str">
        <x:v>Verify high-end project mix; useful benchmark for architect/builder presentation in premium market.</x:v>
      </x:c>
      <x:c r="AC67" s="12" t="str">
        <x:v>https://www.google.com/maps/search/?api=1&amp;query=Remarkable+Glass+Queenstown</x:v>
      </x:c>
      <x:c r="AD67" s="12" t="str">
        <x:v>Not publicly verified</x:v>
      </x:c>
      <x:c r="AE67" s="18" t="n">
        <x:v>46255</x:v>
      </x:c>
    </x:row>
    <x:row r="68">
      <x:c r="A68" s="12" t="str">
        <x:v>Lakeland Glass Limited</x:v>
      </x:c>
      <x:c r="B68" s="12" t="str">
        <x:v>Not publicly verified</x:v>
      </x:c>
      <x:c r="C68" s="12" t="str">
        <x:v>37 Glenda Drive, Frankton, Queenstown 9371</x:v>
      </x:c>
      <x:c r="D68" s="12" t="str">
        <x:v>Queenstown</x:v>
      </x:c>
      <x:c r="E68" s="12" t="str">
        <x:v>Otago</x:v>
      </x:c>
      <x:c r="F68" s="12" t="str">
        <x:v>03 442 8286</x:v>
      </x:c>
      <x:c r="G68" s="12" t="str">
        <x:v>Not publicly verified</x:v>
      </x:c>
      <x:c r="H68" s="12" t="str">
        <x:v>Not publicly verified</x:v>
      </x:c>
      <x:c r="I68" s="12" t="str">
        <x:v>Not publicly verified</x:v>
      </x:c>
      <x:c r="J68" s="12" t="str">
        <x:v>Not publicly verified</x:v>
      </x:c>
      <x:c r="K68" s="14" t="n">
        <x:v>4.6</x:v>
      </x:c>
      <x:c r="L68" s="16" t="n">
        <x:v>11</x:v>
      </x:c>
      <x:c r="M68" s="12" t="str">
        <x:v>Residential &amp; Commercial</x:v>
      </x:c>
      <x:c r="N68" s="12" t="str">
        <x:v>Unclear</x:v>
      </x:c>
      <x:c r="O68" s="12" t="str">
        <x:v>Unclear</x:v>
      </x:c>
      <x:c r="P68" s="12" t="str">
        <x:v>Unclear</x:v>
      </x:c>
      <x:c r="Q68" s="12" t="str">
        <x:v>Unclear</x:v>
      </x:c>
      <x:c r="R68" s="12" t="str">
        <x:v>Unclear</x:v>
      </x:c>
      <x:c r="S68" s="12" t="str">
        <x:v>Unclear</x:v>
      </x:c>
      <x:c r="T68" s="12" t="str">
        <x:v>Yes</x:v>
      </x:c>
      <x:c r="U68" s="12" t="n">
        <x:f>COUNTIF(N68:T68,"Yes")</x:f>
        <x:v>1</x:v>
      </x:c>
      <x:c r="V68" s="12" t="n">
        <x:f>COUNTIF(H68:J68,"&lt;&gt;Not publicly verified")</x:f>
        <x:v>0</x:v>
      </x:c>
      <x:c r="W68" s="12" t="str">
        <x:v>B</x:v>
      </x:c>
      <x:c r="X68" s="12" t="str">
        <x:v>Medium</x:v>
      </x:c>
      <x:c r="Y68" s="12" t="str">
        <x:v>Regional glazier</x:v>
      </x:c>
      <x:c r="Z68" s="12" t="str">
        <x:v>Queenstown / Central Otago</x:v>
      </x:c>
      <x:c r="AA68" s="12" t="str">
        <x:v>Established Queenstown glazing presence.</x:v>
      </x:c>
      <x:c r="AB68" s="12" t="str">
        <x:v>Verify architectural/project portfolio and premium-market positioning.</x:v>
      </x:c>
      <x:c r="AC68" s="12" t="str">
        <x:v>https://www.google.com/maps/search/?api=1&amp;query=Lakeland+Glass+Queenstown</x:v>
      </x:c>
      <x:c r="AD68" s="12" t="str">
        <x:v>Not publicly verified</x:v>
      </x:c>
      <x:c r="AE68" s="18" t="n">
        <x:v>46255</x:v>
      </x:c>
    </x:row>
    <x:row r="69">
      <x:c r="A69" s="12" t="str">
        <x:v>Invercargill Glass &amp; Mirror</x:v>
      </x:c>
      <x:c r="B69" s="12" t="str">
        <x:v>https://www.invercargillglass.co.nz/</x:v>
      </x:c>
      <x:c r="C69" s="12" t="str">
        <x:v>94 Bill Richardson Drive, Avenal, Invercargill 9810</x:v>
      </x:c>
      <x:c r="D69" s="12" t="str">
        <x:v>Invercargill</x:v>
      </x:c>
      <x:c r="E69" s="12" t="str">
        <x:v>Southland</x:v>
      </x:c>
      <x:c r="F69" s="12" t="str">
        <x:v>03 214 0918</x:v>
      </x:c>
      <x:c r="G69" s="12" t="str">
        <x:v>Not publicly verified</x:v>
      </x:c>
      <x:c r="H69" s="12" t="str">
        <x:v>Not publicly verified</x:v>
      </x:c>
      <x:c r="I69" s="12" t="str">
        <x:v>Not publicly verified</x:v>
      </x:c>
      <x:c r="J69" s="12" t="str">
        <x:v>Not publicly verified</x:v>
      </x:c>
      <x:c r="K69" s="14"/>
      <x:c r="L69" s="16" t="n">
        <x:v>0</x:v>
      </x:c>
      <x:c r="M69" s="12" t="str">
        <x:v>Residential &amp; Commercial</x:v>
      </x:c>
      <x:c r="N69" s="12" t="str">
        <x:v>Unclear</x:v>
      </x:c>
      <x:c r="O69" s="12" t="str">
        <x:v>Unclear</x:v>
      </x:c>
      <x:c r="P69" s="12" t="str">
        <x:v>Unclear</x:v>
      </x:c>
      <x:c r="Q69" s="12" t="str">
        <x:v>Unclear</x:v>
      </x:c>
      <x:c r="R69" s="12" t="str">
        <x:v>Yes</x:v>
      </x:c>
      <x:c r="S69" s="12" t="str">
        <x:v>Unclear</x:v>
      </x:c>
      <x:c r="T69" s="12" t="str">
        <x:v>Yes</x:v>
      </x:c>
      <x:c r="U69" s="12" t="n">
        <x:f>COUNTIF(N69:T69,"Yes")</x:f>
        <x:v>2</x:v>
      </x:c>
      <x:c r="V69" s="12" t="n">
        <x:f>COUNTIF(H69:J69,"&lt;&gt;Not publicly verified")</x:f>
        <x:v>0</x:v>
      </x:c>
      <x:c r="W69" s="12" t="str">
        <x:v>B</x:v>
      </x:c>
      <x:c r="X69" s="12" t="str">
        <x:v>Medium</x:v>
      </x:c>
      <x:c r="Y69" s="12" t="str">
        <x:v>Regional full-service glazier</x:v>
      </x:c>
      <x:c r="Z69" s="12" t="str">
        <x:v>Southland</x:v>
      </x:c>
      <x:c r="AA69" s="12" t="str">
        <x:v>Regional coverage across Southland; public review data was limited in current pass.</x:v>
      </x:c>
      <x:c r="AB69" s="12" t="str">
        <x:v>Verify architectural-glass mix and regional content coverage.</x:v>
      </x:c>
      <x:c r="AC69" s="12" t="str">
        <x:v>https://www.invercargillglass.co.nz/</x:v>
      </x:c>
      <x:c r="AD69" s="12" t="str">
        <x:v>https://www.google.com/maps/search/?api=1&amp;query=Invercargill+Glass+and+Mirror</x:v>
      </x:c>
      <x:c r="AE69" s="18" t="n">
        <x:v>46255</x:v>
      </x:c>
    </x:row>
    <x:row r="70">
      <x:c r="A70" s="12" t="str">
        <x:v>Metro Direct Southland</x:v>
      </x:c>
      <x:c r="B70" s="12" t="str">
        <x:v>Not publicly verified</x:v>
      </x:c>
      <x:c r="C70" s="12" t="str">
        <x:v>99 Clyde Street, West Invercargill, Invercargill 9810</x:v>
      </x:c>
      <x:c r="D70" s="12" t="str">
        <x:v>Invercargill</x:v>
      </x:c>
      <x:c r="E70" s="12" t="str">
        <x:v>Southland</x:v>
      </x:c>
      <x:c r="F70" s="12" t="str">
        <x:v>03 218 3102</x:v>
      </x:c>
      <x:c r="G70" s="12" t="str">
        <x:v>Not publicly verified</x:v>
      </x:c>
      <x:c r="H70" s="12" t="str">
        <x:v>Not publicly verified</x:v>
      </x:c>
      <x:c r="I70" s="12" t="str">
        <x:v>Not publicly verified</x:v>
      </x:c>
      <x:c r="J70" s="12" t="str">
        <x:v>Not publicly verified</x:v>
      </x:c>
      <x:c r="K70" s="14" t="n">
        <x:v>4.6</x:v>
      </x:c>
      <x:c r="L70" s="16" t="n">
        <x:v>30</x:v>
      </x:c>
      <x:c r="M70" s="12" t="str">
        <x:v>Residential &amp; Commercial</x:v>
      </x:c>
      <x:c r="N70" s="12" t="str">
        <x:v>Unclear</x:v>
      </x:c>
      <x:c r="O70" s="12" t="str">
        <x:v>Unclear</x:v>
      </x:c>
      <x:c r="P70" s="12" t="str">
        <x:v>Unclear</x:v>
      </x:c>
      <x:c r="Q70" s="12" t="str">
        <x:v>Unclear</x:v>
      </x:c>
      <x:c r="R70" s="12" t="str">
        <x:v>Unclear</x:v>
      </x:c>
      <x:c r="S70" s="12" t="str">
        <x:v>Unclear</x:v>
      </x:c>
      <x:c r="T70" s="12" t="str">
        <x:v>Yes</x:v>
      </x:c>
      <x:c r="U70" s="12" t="n">
        <x:f>COUNTIF(N70:T70,"Yes")</x:f>
        <x:v>1</x:v>
      </x:c>
      <x:c r="V70" s="12" t="n">
        <x:f>COUNTIF(H70:J70,"&lt;&gt;Not publicly verified")</x:f>
        <x:v>0</x:v>
      </x:c>
      <x:c r="W70" s="12" t="str">
        <x:v>B</x:v>
      </x:c>
      <x:c r="X70" s="12" t="str">
        <x:v>Medium</x:v>
      </x:c>
      <x:c r="Y70" s="12" t="str">
        <x:v>Regional branch / glass supplier-installer</x:v>
      </x:c>
      <x:c r="Z70" s="12" t="str">
        <x:v>Southland</x:v>
      </x:c>
      <x:c r="AA70" s="12" t="str">
        <x:v>Recognisable national glass network/brand presence.</x:v>
      </x:c>
      <x:c r="AB70" s="12" t="str">
        <x:v>Track national-to-local branding, supplier scale and commercial capabilities.</x:v>
      </x:c>
      <x:c r="AC70" s="12" t="str">
        <x:v>https://www.google.com/maps/search/?api=1&amp;query=Metro+Direct+Southland</x:v>
      </x:c>
      <x:c r="AD70" s="12" t="str">
        <x:v>Not publicly verified</x:v>
      </x:c>
      <x:c r="AE70" s="18" t="n">
        <x:v>46255</x:v>
      </x:c>
    </x:row>
    <x:row r="71">
      <x:c r="A71" s="12" t="str">
        <x:v>Excel Glass &amp; Joinery Services</x:v>
      </x:c>
      <x:c r="B71" s="12" t="str">
        <x:v>Not publicly verified</x:v>
      </x:c>
      <x:c r="C71" s="12" t="str">
        <x:v>49 Benmore Street, Prestonville, Invercargill 9810</x:v>
      </x:c>
      <x:c r="D71" s="12" t="str">
        <x:v>Invercargill</x:v>
      </x:c>
      <x:c r="E71" s="12" t="str">
        <x:v>Southland</x:v>
      </x:c>
      <x:c r="F71" s="12" t="str">
        <x:v>021 755 909</x:v>
      </x:c>
      <x:c r="G71" s="12" t="str">
        <x:v>Not publicly verified</x:v>
      </x:c>
      <x:c r="H71" s="12" t="str">
        <x:v>Not publicly verified</x:v>
      </x:c>
      <x:c r="I71" s="12" t="str">
        <x:v>Not publicly verified</x:v>
      </x:c>
      <x:c r="J71" s="12" t="str">
        <x:v>Not publicly verified</x:v>
      </x:c>
      <x:c r="K71" s="14" t="n">
        <x:v>5</x:v>
      </x:c>
      <x:c r="L71" s="16" t="n">
        <x:v>1</x:v>
      </x:c>
      <x:c r="M71" s="12" t="str">
        <x:v>Residential &amp; Commercial</x:v>
      </x:c>
      <x:c r="N71" s="12" t="str">
        <x:v>Unclear</x:v>
      </x:c>
      <x:c r="O71" s="12" t="str">
        <x:v>Unclear</x:v>
      </x:c>
      <x:c r="P71" s="12" t="str">
        <x:v>Unclear</x:v>
      </x:c>
      <x:c r="Q71" s="12" t="str">
        <x:v>Unclear</x:v>
      </x:c>
      <x:c r="R71" s="12" t="str">
        <x:v>Unclear</x:v>
      </x:c>
      <x:c r="S71" s="12" t="str">
        <x:v>Unclear</x:v>
      </x:c>
      <x:c r="T71" s="12" t="str">
        <x:v>Yes</x:v>
      </x:c>
      <x:c r="U71" s="12" t="n">
        <x:f>COUNTIF(N71:T71,"Yes")</x:f>
        <x:v>1</x:v>
      </x:c>
      <x:c r="V71" s="12" t="n">
        <x:f>COUNTIF(H71:J71,"&lt;&gt;Not publicly verified")</x:f>
        <x:v>0</x:v>
      </x:c>
      <x:c r="W71" s="12" t="str">
        <x:v>C</x:v>
      </x:c>
      <x:c r="X71" s="12" t="str">
        <x:v>Low</x:v>
      </x:c>
      <x:c r="Y71" s="12" t="str">
        <x:v>Regional glass/joinery competitor</x:v>
      </x:c>
      <x:c r="Z71" s="12" t="str">
        <x:v>Southland</x:v>
      </x:c>
      <x:c r="AA71" s="12" t="str">
        <x:v>Small public footprint.</x:v>
      </x:c>
      <x:c r="AB71" s="12" t="str">
        <x:v>Discovery-level only unless core overlap is found.</x:v>
      </x:c>
      <x:c r="AC71" s="12" t="str">
        <x:v>https://www.google.com/maps/search/?api=1&amp;query=Excel+Glass+Joinery+Invercargill</x:v>
      </x:c>
      <x:c r="AD71" s="12" t="str">
        <x:v>Not publicly verified</x:v>
      </x:c>
      <x:c r="AE71" s="18" t="n">
        <x:v>46255</x:v>
      </x:c>
    </x:row>
    <x:row r="72">
      <x:c r="A72" s="12" t="str">
        <x:v>Deep South Glass</x:v>
      </x:c>
      <x:c r="B72" s="12" t="str">
        <x:v>Not publicly verified</x:v>
      </x:c>
      <x:c r="C72" s="12" t="str">
        <x:v>24 Bond Street, West Invercargill, Invercargill 9810</x:v>
      </x:c>
      <x:c r="D72" s="12" t="str">
        <x:v>Invercargill</x:v>
      </x:c>
      <x:c r="E72" s="12" t="str">
        <x:v>Southland</x:v>
      </x:c>
      <x:c r="F72" s="12" t="str">
        <x:v>027 221 7106</x:v>
      </x:c>
      <x:c r="G72" s="12" t="str">
        <x:v>Not publicly verified</x:v>
      </x:c>
      <x:c r="H72" s="12" t="str">
        <x:v>Not publicly verified</x:v>
      </x:c>
      <x:c r="I72" s="12" t="str">
        <x:v>Not publicly verified</x:v>
      </x:c>
      <x:c r="J72" s="12" t="str">
        <x:v>Not publicly verified</x:v>
      </x:c>
      <x:c r="K72" s="14" t="n">
        <x:v>4.7</x:v>
      </x:c>
      <x:c r="L72" s="16" t="n">
        <x:v>13</x:v>
      </x:c>
      <x:c r="M72" s="12" t="str">
        <x:v>Residential &amp; Commercial</x:v>
      </x:c>
      <x:c r="N72" s="12" t="str">
        <x:v>Unclear</x:v>
      </x:c>
      <x:c r="O72" s="12" t="str">
        <x:v>Unclear</x:v>
      </x:c>
      <x:c r="P72" s="12" t="str">
        <x:v>Unclear</x:v>
      </x:c>
      <x:c r="Q72" s="12" t="str">
        <x:v>Unclear</x:v>
      </x:c>
      <x:c r="R72" s="12" t="str">
        <x:v>Unclear</x:v>
      </x:c>
      <x:c r="S72" s="12" t="str">
        <x:v>Unclear</x:v>
      </x:c>
      <x:c r="T72" s="12" t="str">
        <x:v>Yes</x:v>
      </x:c>
      <x:c r="U72" s="12" t="n">
        <x:f>COUNTIF(N72:T72,"Yes")</x:f>
        <x:v>1</x:v>
      </x:c>
      <x:c r="V72" s="12" t="n">
        <x:f>COUNTIF(H72:J72,"&lt;&gt;Not publicly verified")</x:f>
        <x:v>0</x:v>
      </x:c>
      <x:c r="W72" s="12" t="str">
        <x:v>C</x:v>
      </x:c>
      <x:c r="X72" s="12" t="str">
        <x:v>Low</x:v>
      </x:c>
      <x:c r="Y72" s="12" t="str">
        <x:v>Regional glazier</x:v>
      </x:c>
      <x:c r="Z72" s="12" t="str">
        <x:v>Southland</x:v>
      </x:c>
      <x:c r="AA72" s="12" t="str">
        <x:v>Small-to-moderate local review footprint.</x:v>
      </x:c>
      <x:c r="AB72" s="12" t="str">
        <x:v>Discovery-level competitor pending service verification.</x:v>
      </x:c>
      <x:c r="AC72" s="12" t="str">
        <x:v>https://www.google.com/maps/search/?api=1&amp;query=Deep+South+Glass+Invercargill</x:v>
      </x:c>
      <x:c r="AD72" s="12" t="str">
        <x:v>Not publicly verified</x:v>
      </x:c>
      <x:c r="AE72" s="18" t="n">
        <x:v>46255</x:v>
      </x:c>
    </x:row>
    <x:row r="73">
      <x:c r="A73" s="12" t="str">
        <x:v>Gisborne Glass Ltd</x:v>
      </x:c>
      <x:c r="B73" s="12" t="str">
        <x:v>Not publicly verified</x:v>
      </x:c>
      <x:c r="C73" s="12" t="str">
        <x:v>Not publicly verified</x:v>
      </x:c>
      <x:c r="D73" s="12" t="str">
        <x:v>Gisborne</x:v>
      </x:c>
      <x:c r="E73" s="12" t="str">
        <x:v>Gisborne</x:v>
      </x:c>
      <x:c r="F73" s="12" t="str">
        <x:v>Not publicly verified</x:v>
      </x:c>
      <x:c r="G73" s="12" t="str">
        <x:v>Not publicly verified</x:v>
      </x:c>
      <x:c r="H73" s="12" t="str">
        <x:v>Not publicly verified</x:v>
      </x:c>
      <x:c r="I73" s="12" t="str">
        <x:v>Not publicly verified</x:v>
      </x:c>
      <x:c r="J73" s="12" t="str">
        <x:v>Not publicly verified</x:v>
      </x:c>
      <x:c r="K73" s="14"/>
      <x:c r="L73" s="16" t="n">
        <x:v>0</x:v>
      </x:c>
      <x:c r="M73" s="12" t="str">
        <x:v>Residential &amp; Commercial</x:v>
      </x:c>
      <x:c r="N73" s="12" t="str">
        <x:v>Yes</x:v>
      </x:c>
      <x:c r="O73" s="12" t="str">
        <x:v>Yes</x:v>
      </x:c>
      <x:c r="P73" s="12" t="str">
        <x:v>Unclear</x:v>
      </x:c>
      <x:c r="Q73" s="12" t="str">
        <x:v>Unclear</x:v>
      </x:c>
      <x:c r="R73" s="12" t="str">
        <x:v>Unclear</x:v>
      </x:c>
      <x:c r="S73" s="12" t="str">
        <x:v>Unclear</x:v>
      </x:c>
      <x:c r="T73" s="12" t="str">
        <x:v>Yes</x:v>
      </x:c>
      <x:c r="U73" s="12" t="n">
        <x:f>COUNTIF(N73:T73,"Yes")</x:f>
        <x:v>3</x:v>
      </x:c>
      <x:c r="V73" s="12" t="n">
        <x:f>COUNTIF(H73:J73,"&lt;&gt;Not publicly verified")</x:f>
        <x:v>0</x:v>
      </x:c>
      <x:c r="W73" s="12" t="str">
        <x:v>A</x:v>
      </x:c>
      <x:c r="X73" s="12" t="str">
        <x:v>High</x:v>
      </x:c>
      <x:c r="Y73" s="12" t="str">
        <x:v>Direct service-overlap candidate</x:v>
      </x:c>
      <x:c r="Z73" s="12" t="str">
        <x:v>Gisborne</x:v>
      </x:c>
      <x:c r="AA73" s="12" t="str">
        <x:v>WGANZ listings indicate balustrades, pool fencing, showers, mirrors, partitions and glazing.</x:v>
      </x:c>
      <x:c r="AB73" s="12" t="str">
        <x:v>Verify current website/contact/social profiles; then monitor as the key Gisborne full-service competitor.</x:v>
      </x:c>
      <x:c r="AC73" s="12" t="str">
        <x:v>https://www.wganz.org.nz/find-member/search-results/</x:v>
      </x:c>
      <x:c r="AD73" s="12" t="str">
        <x:v>Not publicly verified</x:v>
      </x:c>
      <x:c r="AE73" s="18" t="n">
        <x:v>46255</x:v>
      </x:c>
    </x:row>
    <x:row r="74">
      <x:c r="A74" s="12" t="str">
        <x:v>Northland Glass &amp; Balustrade Solutions</x:v>
      </x:c>
      <x:c r="B74" s="12" t="str">
        <x:v>Not publicly verified</x:v>
      </x:c>
      <x:c r="C74" s="12" t="str">
        <x:v>Not publicly verified</x:v>
      </x:c>
      <x:c r="D74" s="12" t="str">
        <x:v>Kerikeri</x:v>
      </x:c>
      <x:c r="E74" s="12" t="str">
        <x:v>Northland</x:v>
      </x:c>
      <x:c r="F74" s="12" t="str">
        <x:v>021 0225 3312</x:v>
      </x:c>
      <x:c r="G74" s="12" t="str">
        <x:v>info@gbsolutions.co.nz</x:v>
      </x:c>
      <x:c r="H74" s="12" t="str">
        <x:v>Not publicly verified</x:v>
      </x:c>
      <x:c r="I74" s="12" t="str">
        <x:v>Not publicly verified</x:v>
      </x:c>
      <x:c r="J74" s="12" t="str">
        <x:v>Not publicly verified</x:v>
      </x:c>
      <x:c r="K74" s="14"/>
      <x:c r="L74" s="16" t="n">
        <x:v>0</x:v>
      </x:c>
      <x:c r="M74" s="12" t="str">
        <x:v>Residential &amp; Commercial</x:v>
      </x:c>
      <x:c r="N74" s="12" t="str">
        <x:v>Yes</x:v>
      </x:c>
      <x:c r="O74" s="12" t="str">
        <x:v>Yes</x:v>
      </x:c>
      <x:c r="P74" s="12" t="str">
        <x:v>Unclear</x:v>
      </x:c>
      <x:c r="Q74" s="12" t="str">
        <x:v>Unclear</x:v>
      </x:c>
      <x:c r="R74" s="12" t="str">
        <x:v>Unclear</x:v>
      </x:c>
      <x:c r="S74" s="12" t="str">
        <x:v>Unclear</x:v>
      </x:c>
      <x:c r="T74" s="12" t="str">
        <x:v>Yes</x:v>
      </x:c>
      <x:c r="U74" s="12" t="n">
        <x:f>COUNTIF(N74:T74,"Yes")</x:f>
        <x:v>3</x:v>
      </x:c>
      <x:c r="V74" s="12" t="n">
        <x:f>COUNTIF(H74:J74,"&lt;&gt;Not publicly verified")</x:f>
        <x:v>0</x:v>
      </x:c>
      <x:c r="W74" s="12" t="str">
        <x:v>A</x:v>
      </x:c>
      <x:c r="X74" s="12" t="str">
        <x:v>High</x:v>
      </x:c>
      <x:c r="Y74" s="12" t="str">
        <x:v>Balustrade/pool specialist candidate</x:v>
      </x:c>
      <x:c r="Z74" s="12" t="str">
        <x:v>Northland</x:v>
      </x:c>
      <x:c r="AA74" s="12" t="str">
        <x:v>Approved Juralco installer for Far North/Northland.</x:v>
      </x:c>
      <x:c r="AB74" s="12" t="str">
        <x:v>Monitor system range, project portfolio and regional keyword coverage.</x:v>
      </x:c>
      <x:c r="AC74" s="12" t="str">
        <x:v>https://www.juralcobalustrades.co.nz/installers/</x:v>
      </x:c>
      <x:c r="AD74" s="12" t="str">
        <x:v>Not publicly verified</x:v>
      </x:c>
      <x:c r="AE74" s="18" t="n">
        <x:v>46255</x:v>
      </x:c>
    </x:row>
    <x:row r="75">
      <x:c r="A75" s="12" t="str">
        <x:v>Outdoor Edge Auckland</x:v>
      </x:c>
      <x:c r="B75" s="12" t="str">
        <x:v>https://outdooredge.co.nz/</x:v>
      </x:c>
      <x:c r="C75" s="12" t="str">
        <x:v>Not publicly verified</x:v>
      </x:c>
      <x:c r="D75" s="12" t="str">
        <x:v>Auckland</x:v>
      </x:c>
      <x:c r="E75" s="12" t="str">
        <x:v>Auckland</x:v>
      </x:c>
      <x:c r="F75" s="12" t="str">
        <x:v>0800 459 192</x:v>
      </x:c>
      <x:c r="G75" s="12" t="str">
        <x:v>sales@outdooredge.co.nz</x:v>
      </x:c>
      <x:c r="H75" s="12" t="str">
        <x:v>Not publicly verified</x:v>
      </x:c>
      <x:c r="I75" s="12" t="str">
        <x:v>Not publicly verified</x:v>
      </x:c>
      <x:c r="J75" s="12" t="str">
        <x:v>Not publicly verified</x:v>
      </x:c>
      <x:c r="K75" s="14"/>
      <x:c r="L75" s="16" t="n">
        <x:v>0</x:v>
      </x:c>
      <x:c r="M75" s="12" t="str">
        <x:v>Residential &amp; Commercial</x:v>
      </x:c>
      <x:c r="N75" s="12" t="str">
        <x:v>Yes</x:v>
      </x:c>
      <x:c r="O75" s="12" t="str">
        <x:v>Yes</x:v>
      </x:c>
      <x:c r="P75" s="12" t="str">
        <x:v>Unclear</x:v>
      </x:c>
      <x:c r="Q75" s="12" t="str">
        <x:v>Unclear</x:v>
      </x:c>
      <x:c r="R75" s="12" t="str">
        <x:v>Unclear</x:v>
      </x:c>
      <x:c r="S75" s="12" t="str">
        <x:v>Unclear</x:v>
      </x:c>
      <x:c r="T75" s="12" t="str">
        <x:v>Yes</x:v>
      </x:c>
      <x:c r="U75" s="12" t="n">
        <x:f>COUNTIF(N75:T75,"Yes")</x:f>
        <x:v>3</x:v>
      </x:c>
      <x:c r="V75" s="12" t="n">
        <x:f>COUNTIF(H75:J75,"&lt;&gt;Not publicly verified")</x:f>
        <x:v>0</x:v>
      </x:c>
      <x:c r="W75" s="12" t="str">
        <x:v>A</x:v>
      </x:c>
      <x:c r="X75" s="12" t="str">
        <x:v>High</x:v>
      </x:c>
      <x:c r="Y75" s="12" t="str">
        <x:v>Balustrade/pool/outdoor-living specialist</x:v>
      </x:c>
      <x:c r="Z75" s="12" t="str">
        <x:v>Auckland</x:v>
      </x:c>
      <x:c r="AA75" s="12" t="str">
        <x:v>Same network model as Outdoor Edge Northland; Auckland/Coromandel coverage.</x:v>
      </x:c>
      <x:c r="AB75" s="12" t="str">
        <x:v>Track outdoor-living cross-sell and premium residential positioning.</x:v>
      </x:c>
      <x:c r="AC75" s="12" t="str">
        <x:v>https://outdooredge.co.nz/</x:v>
      </x:c>
      <x:c r="AD75" s="12" t="str">
        <x:v>Not publicly verified</x:v>
      </x:c>
      <x:c r="AE75" s="18" t="n">
        <x:v>46255</x:v>
      </x:c>
    </x:row>
    <x:row r="76">
      <x:c r="A76" s="12" t="str">
        <x:v>HomePlus Auckland - Rodney</x:v>
      </x:c>
      <x:c r="B76" s="12" t="str">
        <x:v>https://www.homeplus.co.nz/</x:v>
      </x:c>
      <x:c r="C76" s="12" t="str">
        <x:v>16/18 Morrison Drive, Warkworth</x:v>
      </x:c>
      <x:c r="D76" s="12" t="str">
        <x:v>Warkworth</x:v>
      </x:c>
      <x:c r="E76" s="12" t="str">
        <x:v>Auckland</x:v>
      </x:c>
      <x:c r="F76" s="12" t="str">
        <x:v>09 425 7053</x:v>
      </x:c>
      <x:c r="G76" s="12" t="str">
        <x:v>rodney@homeplus.co.nz</x:v>
      </x:c>
      <x:c r="H76" s="12" t="str">
        <x:v>Not publicly verified</x:v>
      </x:c>
      <x:c r="I76" s="12" t="str">
        <x:v>Not publicly verified</x:v>
      </x:c>
      <x:c r="J76" s="12" t="str">
        <x:v>Not publicly verified</x:v>
      </x:c>
      <x:c r="K76" s="14"/>
      <x:c r="L76" s="16" t="n">
        <x:v>0</x:v>
      </x:c>
      <x:c r="M76" s="12" t="str">
        <x:v>Residential &amp; Commercial</x:v>
      </x:c>
      <x:c r="N76" s="12" t="str">
        <x:v>Unclear</x:v>
      </x:c>
      <x:c r="O76" s="12" t="str">
        <x:v>Unclear</x:v>
      </x:c>
      <x:c r="P76" s="12" t="str">
        <x:v>Unclear</x:v>
      </x:c>
      <x:c r="Q76" s="12" t="str">
        <x:v>Unclear</x:v>
      </x:c>
      <x:c r="R76" s="12" t="str">
        <x:v>Unclear</x:v>
      </x:c>
      <x:c r="S76" s="12" t="str">
        <x:v>Unclear</x:v>
      </x:c>
      <x:c r="T76" s="12" t="str">
        <x:v>Yes</x:v>
      </x:c>
      <x:c r="U76" s="12" t="n">
        <x:f>COUNTIF(N76:T76,"Yes")</x:f>
        <x:v>1</x:v>
      </x:c>
      <x:c r="V76" s="12" t="n">
        <x:f>COUNTIF(H76:J76,"&lt;&gt;Not publicly verified")</x:f>
        <x:v>0</x:v>
      </x:c>
      <x:c r="W76" s="12" t="str">
        <x:v>B</x:v>
      </x:c>
      <x:c r="X76" s="12" t="str">
        <x:v>Medium</x:v>
      </x:c>
      <x:c r="Y76" s="12" t="str">
        <x:v>Installer network / adjacent competitor</x:v>
      </x:c>
      <x:c r="Z76" s="12" t="str">
        <x:v>Auckland</x:v>
      </x:c>
      <x:c r="AA76" s="12" t="str">
        <x:v>Juralco/HomePlus dealer with balustrade and pool-fencing access.</x:v>
      </x:c>
      <x:c r="AB76" s="12" t="str">
        <x:v>Monitor installer-network offers and local Rodney keyword coverage.</x:v>
      </x:c>
      <x:c r="AC76" s="12" t="str">
        <x:v>https://www.juralcobalustrades.co.nz/installers/</x:v>
      </x:c>
      <x:c r="AD76" s="12" t="str">
        <x:v>Not publicly verified</x:v>
      </x:c>
      <x:c r="AE76" s="18" t="n">
        <x:v>46255</x:v>
      </x:c>
    </x:row>
    <x:row r="77">
      <x:c r="A77" s="12" t="str">
        <x:v>HomePlus Auckland - North Shore</x:v>
      </x:c>
      <x:c r="B77" s="12" t="str">
        <x:v>https://www.homeplus.co.nz/</x:v>
      </x:c>
      <x:c r="C77" s="12" t="str">
        <x:v>85 Ellice Road, Wairau Valley, Auckland</x:v>
      </x:c>
      <x:c r="D77" s="12" t="str">
        <x:v>Auckland</x:v>
      </x:c>
      <x:c r="E77" s="12" t="str">
        <x:v>Auckland</x:v>
      </x:c>
      <x:c r="F77" s="12" t="str">
        <x:v>Not publicly verified</x:v>
      </x:c>
      <x:c r="G77" s="12" t="str">
        <x:v>Not publicly verified</x:v>
      </x:c>
      <x:c r="H77" s="12" t="str">
        <x:v>Not publicly verified</x:v>
      </x:c>
      <x:c r="I77" s="12" t="str">
        <x:v>Not publicly verified</x:v>
      </x:c>
      <x:c r="J77" s="12" t="str">
        <x:v>Not publicly verified</x:v>
      </x:c>
      <x:c r="K77" s="14"/>
      <x:c r="L77" s="16" t="n">
        <x:v>0</x:v>
      </x:c>
      <x:c r="M77" s="12" t="str">
        <x:v>Residential &amp; Commercial</x:v>
      </x:c>
      <x:c r="N77" s="12" t="str">
        <x:v>Unclear</x:v>
      </x:c>
      <x:c r="O77" s="12" t="str">
        <x:v>Unclear</x:v>
      </x:c>
      <x:c r="P77" s="12" t="str">
        <x:v>Unclear</x:v>
      </x:c>
      <x:c r="Q77" s="12" t="str">
        <x:v>Unclear</x:v>
      </x:c>
      <x:c r="R77" s="12" t="str">
        <x:v>Unclear</x:v>
      </x:c>
      <x:c r="S77" s="12" t="str">
        <x:v>Unclear</x:v>
      </x:c>
      <x:c r="T77" s="12" t="str">
        <x:v>Yes</x:v>
      </x:c>
      <x:c r="U77" s="12" t="n">
        <x:f>COUNTIF(N77:T77,"Yes")</x:f>
        <x:v>1</x:v>
      </x:c>
      <x:c r="V77" s="12" t="n">
        <x:f>COUNTIF(H77:J77,"&lt;&gt;Not publicly verified")</x:f>
        <x:v>0</x:v>
      </x:c>
      <x:c r="W77" s="12" t="str">
        <x:v>B</x:v>
      </x:c>
      <x:c r="X77" s="12" t="str">
        <x:v>Medium</x:v>
      </x:c>
      <x:c r="Y77" s="12" t="str">
        <x:v>Installer network / adjacent competitor</x:v>
      </x:c>
      <x:c r="Z77" s="12" t="str">
        <x:v>Auckland</x:v>
      </x:c>
      <x:c r="AA77" s="12" t="str">
        <x:v>Juralco/HomePlus North Shore presence.</x:v>
      </x:c>
      <x:c r="AB77" s="12" t="str">
        <x:v>Monitor North Shore service-area SEO and supplier-network positioning.</x:v>
      </x:c>
      <x:c r="AC77" s="12" t="str">
        <x:v>https://www.juralcobalustrades.co.nz/installers/</x:v>
      </x:c>
      <x:c r="AD77" s="12" t="str">
        <x:v>Not publicly verified</x:v>
      </x:c>
      <x:c r="AE77" s="18" t="n">
        <x:v>46255</x:v>
      </x:c>
    </x:row>
  </x:sheetData>
  <x:conditionalFormatting sqref="K2:K77">
    <x:cfRule type="colorScale" priority="1">
      <x:colorScale>
        <x:cfvo type="min"/>
        <x:cfvo type="percentile" val="50"/>
        <x:cfvo type="max"/>
        <x:color rgb="FFFDE2E2"/>
        <x:color rgb="FFFFF4CC"/>
        <x:color rgb="FFD9F2E6"/>
      </x:colorScale>
    </x:cfRule>
  </x:conditionalFormatting>
  <x:conditionalFormatting sqref="L2:L77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{6FCFE4D8-EC71-FAEA-E633-CAE73DF1F22C}</x14:id>
        </x:ext>
      </x:extLst>
    </x:cfRule>
  </x:conditionalFormatting>
  <x:conditionalFormatting sqref="U2:U77">
    <x:cfRule type="dataBar" priority="3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{758372DD-FFC0-8E62-4F00-F05BEDF99F4A}</x14:id>
        </x:ext>
      </x:extLst>
    </x:cfRule>
  </x:conditionalFormatting>
  <x:conditionalFormatting sqref="X2:X77">
    <x:cfRule type="expression" dxfId="0" priority="4">
      <x:formula>X2="High"</x:formula>
    </x:cfRule>
    <x:cfRule type="expression" dxfId="1" priority="5">
      <x:formula>X2="Medium"</x:formula>
    </x:cfRule>
    <x:cfRule type="expression" dxfId="2" priority="6">
      <x:formula>X2="Low"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4474d11aa484ee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6FCFE4D8-EC71-FAEA-E633-CAE73DF1F22C}">
            <x14:dataBar gradient="1">
              <x14:cfvo type="min"/>
              <x14:cfvo type="max"/>
              <x14:fillColor rgb="FFA02B93"/>
            </x14:dataBar>
          </x14:cfRule>
          <xm:sqref>L2:L77</xm:sqref>
        </x14:conditionalFormatting>
        <x14:conditionalFormatting>
          <x14:cfRule type="dataBar" priority="3" id="{758372DD-FFC0-8E62-4F00-F05BEDF99F4A}">
            <x14:dataBar gradient="1">
              <x14:cfvo type="min"/>
              <x14:cfvo type="max"/>
              <x14:fillColor rgb="FF0F9ED5"/>
            </x14:dataBar>
          </x14:cfRule>
          <xm:sqref>U2:U77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31" hidden="0" customWidth="1"/>
    <x:col min="4" max="4" width="22" hidden="0" customWidth="1"/>
    <x:col min="5" max="5" width="28" hidden="0" customWidth="1"/>
    <x:col min="6" max="6" width="34" hidden="0" customWidth="1"/>
    <x:col min="7" max="7" width="34" hidden="0" customWidth="1"/>
    <x:col min="8" max="8" width="38" hidden="0" customWidth="1"/>
    <x:col min="9" max="9" width="12" hidden="0" customWidth="1"/>
    <x:col min="10" max="10" width="11" hidden="0" customWidth="1"/>
    <x:col min="11" max="11" width="10" hidden="0" customWidth="1"/>
    <x:col min="12" max="12" width="13" hidden="0" customWidth="1"/>
    <x:col min="13" max="13" width="48" hidden="0" customWidth="1"/>
    <x:col min="14" max="14" width="52" hidden="0" customWidth="1"/>
    <x:col min="15" max="15" width="38" hidden="0" customWidth="1"/>
  </x:cols>
  <x:sheetData>
    <x:row r="1" ht="34" customHeight="1">
      <x:c r="A1" s="6" t="str">
        <x:v>Competitor</x:v>
      </x:c>
      <x:c r="B1" s="6" t="str">
        <x:v>Region</x:v>
      </x:c>
      <x:c r="C1" s="6" t="str">
        <x:v>Website</x:v>
      </x:c>
      <x:c r="D1" s="6" t="str">
        <x:v>Phone</x:v>
      </x:c>
      <x:c r="E1" s="6" t="str">
        <x:v>Email</x:v>
      </x:c>
      <x:c r="F1" s="6" t="str">
        <x:v>Facebook</x:v>
      </x:c>
      <x:c r="G1" s="6" t="str">
        <x:v>Instagram</x:v>
      </x:c>
      <x:c r="H1" s="6" t="str">
        <x:v>LinkedIn</x:v>
      </x:c>
      <x:c r="I1" s="6" t="str">
        <x:v>Google Rating</x:v>
      </x:c>
      <x:c r="J1" s="6" t="str">
        <x:v>Reviews</x:v>
      </x:c>
      <x:c r="K1" s="6" t="str">
        <x:v>Tier</x:v>
      </x:c>
      <x:c r="L1" s="6" t="str">
        <x:v>Service Match</x:v>
      </x:c>
      <x:c r="M1" s="6" t="str">
        <x:v>Why Monitor</x:v>
      </x:c>
      <x:c r="N1" s="6" t="str">
        <x:v>Action / What to Watch</x:v>
      </x:c>
      <x:c r="O1" s="6" t="str">
        <x:v>Source</x:v>
      </x:c>
    </x:row>
    <x:row r="2">
      <x:c r="A2" s="12" t="str">
        <x:v>360 Glass Ltd</x:v>
      </x:c>
      <x:c r="B2" s="12" t="str">
        <x:v>Auckland</x:v>
      </x:c>
      <x:c r="C2" s="12" t="str">
        <x:v>https://360glass.co.nz/</x:v>
      </x:c>
      <x:c r="D2" s="12" t="str">
        <x:v>09 443 5742 / 0800 360 452</x:v>
      </x:c>
      <x:c r="E2" s="12" t="str">
        <x:v>office@360glass.co.nz</x:v>
      </x:c>
      <x:c r="F2" s="12" t="str">
        <x:v>https://www.facebook.com/360glass/</x:v>
      </x:c>
      <x:c r="G2" s="12" t="str">
        <x:v>Not publicly verified</x:v>
      </x:c>
      <x:c r="H2" s="12" t="str">
        <x:v>Not publicly verified</x:v>
      </x:c>
      <x:c r="I2" s="12" t="n">
        <x:v>4.9</x:v>
      </x:c>
      <x:c r="J2" s="12" t="n">
        <x:v>107</x:v>
      </x:c>
      <x:c r="K2" s="12" t="str">
        <x:v>A+</x:v>
      </x:c>
      <x:c r="L2" s="12" t="n">
        <x:v>7</x:v>
      </x:c>
      <x:c r="M2" s="12" t="str">
        <x:v>High review authority; technical pages for channel, point-fixed/standoff, spigot and bespoke/curved balustrades.</x:v>
      </x:c>
      <x:c r="N2" s="12" t="str">
        <x:v>Track balustrade-system landing pages, technical terminology, project photography, reviews and enquiry funnel.</x:v>
      </x:c>
      <x:c r="O2" s="12" t="str">
        <x:v>https://360glass.co.nz/</x:v>
      </x:c>
    </x:row>
    <x:row r="3">
      <x:c r="A3" s="12" t="str">
        <x:v>Haynes Glass</x:v>
      </x:c>
      <x:c r="B3" s="12" t="str">
        <x:v>Auckland</x:v>
      </x:c>
      <x:c r="C3" s="12" t="str">
        <x:v>https://www.haynesglass.co.nz/</x:v>
      </x:c>
      <x:c r="D3" s="12" t="str">
        <x:v>0508 452 777</x:v>
      </x:c>
      <x:c r="E3" s="12" t="str">
        <x:v>sales@haynesglass.co.nz</x:v>
      </x:c>
      <x:c r="F3" s="12" t="str">
        <x:v>Not publicly verified</x:v>
      </x:c>
      <x:c r="G3" s="12" t="str">
        <x:v>Not publicly verified</x:v>
      </x:c>
      <x:c r="H3" s="12" t="str">
        <x:v>https://nz.linkedin.com/company/haynes-glass</x:v>
      </x:c>
      <x:c r="I3" s="12" t="n">
        <x:v>4.8</x:v>
      </x:c>
      <x:c r="J3" s="12" t="n">
        <x:v>80</x:v>
      </x:c>
      <x:c r="K3" s="12" t="str">
        <x:v>A+</x:v>
      </x:c>
      <x:c r="L3" s="12" t="n">
        <x:v>7</x:v>
      </x:c>
      <x:c r="M3" s="12" t="str">
        <x:v>Dedicated pages for mini posts, channel, disc/anchors and post balustrades; strong builder/architect trade positioning.</x:v>
      </x:c>
      <x:c r="N3" s="12" t="str">
        <x:v>Watch product taxonomy, trade-account proposition, technical system content and commercial portfolio.</x:v>
      </x:c>
      <x:c r="O3" s="12" t="str">
        <x:v>https://www.haynesglass.co.nz/</x:v>
      </x:c>
    </x:row>
    <x:row r="4">
      <x:c r="A4" s="12" t="str">
        <x:v>Insight Glass Ltd</x:v>
      </x:c>
      <x:c r="B4" s="12" t="str">
        <x:v>Auckland</x:v>
      </x:c>
      <x:c r="C4" s="12" t="str">
        <x:v>https://insightglass.co.nz/</x:v>
      </x:c>
      <x:c r="D4" s="12" t="str">
        <x:v>021 036 2857</x:v>
      </x:c>
      <x:c r="E4" s="12" t="str">
        <x:v>Not publicly verified</x:v>
      </x:c>
      <x:c r="F4" s="12" t="str">
        <x:v>https://www.facebook.com/profile.php?id=100044457133279</x:v>
      </x:c>
      <x:c r="G4" s="12" t="str">
        <x:v>https://www.instagram.com/insightglassnz</x:v>
      </x:c>
      <x:c r="H4" s="12" t="str">
        <x:v>Not publicly verified</x:v>
      </x:c>
      <x:c r="I4" s="12" t="n">
        <x:v>5</x:v>
      </x:c>
      <x:c r="J4" s="12" t="n">
        <x:v>14</x:v>
      </x:c>
      <x:c r="K4" s="12" t="str">
        <x:v>A</x:v>
      </x:c>
      <x:c r="L4" s="12" t="n">
        <x:v>5</x:v>
      </x:c>
      <x:c r="M4" s="12" t="str">
        <x:v>SEO-oriented FAQs around pricing, compliance and customer questions; strong frameless positioning.</x:v>
      </x:c>
      <x:c r="N4" s="12" t="str">
        <x:v>Benchmark FAQ/search-intent coverage, quote friction and educational content for AEO/GEO.</x:v>
      </x:c>
      <x:c r="O4" s="12" t="str">
        <x:v>https://insightglass.co.nz/</x:v>
      </x:c>
    </x:row>
    <x:row r="5">
      <x:c r="A5" s="12" t="str">
        <x:v>Prime Glass Auckland</x:v>
      </x:c>
      <x:c r="B5" s="12" t="str">
        <x:v>Auckland</x:v>
      </x:c>
      <x:c r="C5" s="12" t="str">
        <x:v>https://www.primeglass.co.nz/</x:v>
      </x:c>
      <x:c r="D5" s="12" t="str">
        <x:v>0800 499 664</x:v>
      </x:c>
      <x:c r="E5" s="12" t="str">
        <x:v>info@primeglass.co.nz</x:v>
      </x:c>
      <x:c r="F5" s="12" t="str">
        <x:v>Not publicly verified</x:v>
      </x:c>
      <x:c r="G5" s="12" t="str">
        <x:v>Not publicly verified</x:v>
      </x:c>
      <x:c r="H5" s="12" t="str">
        <x:v>Not publicly verified</x:v>
      </x:c>
      <x:c r="I5" s="12" t="n">
        <x:v>4.8</x:v>
      </x:c>
      <x:c r="J5" s="12" t="n">
        <x:v>75</x:v>
      </x:c>
      <x:c r="K5" s="12" t="str">
        <x:v>A</x:v>
      </x:c>
      <x:c r="L5" s="12" t="n">
        <x:v>6</x:v>
      </x:c>
      <x:c r="M5" s="12" t="str">
        <x:v>Strong local SEO coverage by Auckland sub-region; 24/7 emergency angle; frequent Google-review content embedded on site.</x:v>
      </x:c>
      <x:c r="N5" s="12" t="str">
        <x:v>Track local-area landing pages, response-time messaging, review integration and commercial lead capture.</x:v>
      </x:c>
      <x:c r="O5" s="12" t="str">
        <x:v>https://www.primeglass.co.nz/</x:v>
      </x:c>
    </x:row>
    <x:row r="6">
      <x:c r="A6" s="12" t="str">
        <x:v>Glass &amp; Glazing Ltd</x:v>
      </x:c>
      <x:c r="B6" s="12" t="str">
        <x:v>Waikato</x:v>
      </x:c>
      <x:c r="C6" s="12" t="str">
        <x:v>https://glassandglazing.co.nz/</x:v>
      </x:c>
      <x:c r="D6" s="12" t="str">
        <x:v>07 847 1911</x:v>
      </x:c>
      <x:c r="E6" s="12" t="str">
        <x:v>admin@glassandglazing.co.nz</x:v>
      </x:c>
      <x:c r="F6" s="12" t="str">
        <x:v>Not publicly verified</x:v>
      </x:c>
      <x:c r="G6" s="12" t="str">
        <x:v>Not publicly verified</x:v>
      </x:c>
      <x:c r="H6" s="12" t="str">
        <x:v>Not publicly verified</x:v>
      </x:c>
      <x:c r="I6" s="12" t="n">
        <x:v>4.9</x:v>
      </x:c>
      <x:c r="J6" s="12" t="n">
        <x:v>34</x:v>
      </x:c>
      <x:c r="K6" s="12" t="str">
        <x:v>A</x:v>
      </x:c>
      <x:c r="L6" s="12" t="n">
        <x:v>4</x:v>
      </x:c>
      <x:c r="M6" s="12" t="str">
        <x:v>Broad residential/commercial glazing with strong review rating.</x:v>
      </x:c>
      <x:c r="N6" s="12" t="str">
        <x:v>Monitor service breadth, builder/commercial acquisition and regional SEO pages.</x:v>
      </x:c>
      <x:c r="O6" s="12" t="str">
        <x:v>https://glassandglazing.co.nz/</x:v>
      </x:c>
    </x:row>
    <x:row r="7">
      <x:c r="A7" s="12" t="str">
        <x:v>City Glass Services Ltd</x:v>
      </x:c>
      <x:c r="B7" s="12" t="str">
        <x:v>Waikato</x:v>
      </x:c>
      <x:c r="C7" s="12" t="str">
        <x:v>https://www.cityglass.co.nz/</x:v>
      </x:c>
      <x:c r="D7" s="12" t="str">
        <x:v>07 856 5669</x:v>
      </x:c>
      <x:c r="E7" s="12" t="str">
        <x:v>admin@cityglass.co.nz</x:v>
      </x:c>
      <x:c r="F7" s="12" t="str">
        <x:v>Not publicly verified</x:v>
      </x:c>
      <x:c r="G7" s="12" t="str">
        <x:v>Not publicly verified</x:v>
      </x:c>
      <x:c r="H7" s="12" t="str">
        <x:v>Not publicly verified</x:v>
      </x:c>
      <x:c r="I7" s="12" t="n">
        <x:v>4.8</x:v>
      </x:c>
      <x:c r="J7" s="12" t="n">
        <x:v>41</x:v>
      </x:c>
      <x:c r="K7" s="12" t="str">
        <x:v>A</x:v>
      </x:c>
      <x:c r="L7" s="12" t="n">
        <x:v>6</x:v>
      </x:c>
      <x:c r="M7" s="12" t="str">
        <x:v>Strong overlap across balustrades, pool fencing, showers, mirrors and splashbacks.</x:v>
      </x:c>
      <x:c r="N7" s="12" t="str">
        <x:v>Monitor package/cross-sell positioning and local SEO for Waikato glass services.</x:v>
      </x:c>
      <x:c r="O7" s="12" t="str">
        <x:v>https://www.cityglass.co.nz/</x:v>
      </x:c>
    </x:row>
    <x:row r="8">
      <x:c r="A8" s="12" t="str">
        <x:v>CM Glass</x:v>
      </x:c>
      <x:c r="B8" s="12" t="str">
        <x:v>Waikato</x:v>
      </x:c>
      <x:c r="C8" s="12" t="str">
        <x:v>https://www.cmglass.nz/</x:v>
      </x:c>
      <x:c r="D8" s="12" t="str">
        <x:v>07 849 6554 / 0800 264 5277</x:v>
      </x:c>
      <x:c r="E8" s="12" t="str">
        <x:v>info@cmglass.nz</x:v>
      </x:c>
      <x:c r="F8" s="12" t="str">
        <x:v>Not publicly verified</x:v>
      </x:c>
      <x:c r="G8" s="12" t="str">
        <x:v>Not publicly verified</x:v>
      </x:c>
      <x:c r="H8" s="12" t="str">
        <x:v>Not publicly verified</x:v>
      </x:c>
      <x:c r="I8" s="12" t="n">
        <x:v>4.5</x:v>
      </x:c>
      <x:c r="J8" s="12" t="n">
        <x:v>34</x:v>
      </x:c>
      <x:c r="K8" s="12" t="str">
        <x:v>A</x:v>
      </x:c>
      <x:c r="L8" s="12" t="n">
        <x:v>5</x:v>
      </x:c>
      <x:c r="M8" s="12" t="str">
        <x:v>Wider regional service footprint and commercial façade/glazing capability.</x:v>
      </x:c>
      <x:c r="N8" s="12" t="str">
        <x:v>Watch geographic expansion, commercial credentials and lead generation across multiple regions.</x:v>
      </x:c>
      <x:c r="O8" s="12" t="str">
        <x:v>https://www.cmglass.nz/</x:v>
      </x:c>
    </x:row>
    <x:row r="9">
      <x:c r="A9" s="12" t="str">
        <x:v>First Glass Solutions</x:v>
      </x:c>
      <x:c r="B9" s="12" t="str">
        <x:v>Bay of Plenty</x:v>
      </x:c>
      <x:c r="C9" s="12" t="str">
        <x:v>https://www.firstglasssolutions.co.nz/</x:v>
      </x:c>
      <x:c r="D9" s="12" t="str">
        <x:v>07 571 1336</x:v>
      </x:c>
      <x:c r="E9" s="12" t="str">
        <x:v>info@firstglasssolutions.co.nz</x:v>
      </x:c>
      <x:c r="F9" s="12" t="str">
        <x:v>Not publicly verified</x:v>
      </x:c>
      <x:c r="G9" s="12" t="str">
        <x:v>Not publicly verified</x:v>
      </x:c>
      <x:c r="H9" s="12" t="str">
        <x:v>Not publicly verified</x:v>
      </x:c>
      <x:c r="I9" s="12" t="n">
        <x:v>5</x:v>
      </x:c>
      <x:c r="J9" s="12" t="n">
        <x:v>26</x:v>
      </x:c>
      <x:c r="K9" s="12" t="str">
        <x:v>A+</x:v>
      </x:c>
      <x:c r="L9" s="12" t="n">
        <x:v>6</x:v>
      </x:c>
      <x:c r="M9" s="12" t="str">
        <x:v>Strong frameless/semi-frameless positioning with channel/standoff systems and broad custom glass.</x:v>
      </x:c>
      <x:c r="N9" s="12" t="str">
        <x:v>Monitor system-specific SEO, project case studies, frameless messaging and quote flow.</x:v>
      </x:c>
      <x:c r="O9" s="12" t="str">
        <x:v>https://www.firstglasssolutions.co.nz/</x:v>
      </x:c>
    </x:row>
    <x:row r="10">
      <x:c r="A10" s="12" t="str">
        <x:v>Tauranga Glass Ltd</x:v>
      </x:c>
      <x:c r="B10" s="12" t="str">
        <x:v>Bay of Plenty</x:v>
      </x:c>
      <x:c r="C10" s="12" t="str">
        <x:v>https://taurangaglass.co.nz/</x:v>
      </x:c>
      <x:c r="D10" s="12" t="str">
        <x:v>07 571 3324</x:v>
      </x:c>
      <x:c r="E10" s="12" t="str">
        <x:v>info@taurangaglass.co.nz</x:v>
      </x:c>
      <x:c r="F10" s="12" t="str">
        <x:v>https://www.facebook.com/pages/Tauranga-Glass/209530142546972</x:v>
      </x:c>
      <x:c r="G10" s="12" t="str">
        <x:v>Not publicly verified</x:v>
      </x:c>
      <x:c r="H10" s="12" t="str">
        <x:v>Not publicly verified</x:v>
      </x:c>
      <x:c r="I10" s="12" t="n">
        <x:v>4.8</x:v>
      </x:c>
      <x:c r="J10" s="12" t="n">
        <x:v>154</x:v>
      </x:c>
      <x:c r="K10" s="12" t="str">
        <x:v>A+</x:v>
      </x:c>
      <x:c r="L10" s="12" t="n">
        <x:v>6</x:v>
      </x:c>
      <x:c r="M10" s="12" t="str">
        <x:v>Large review base; explicitly markets channel, spigot and post systems plus broad glass services.</x:v>
      </x:c>
      <x:c r="N10" s="12" t="str">
        <x:v>Track local brand authority, project/social content and balustrade-system product pages.</x:v>
      </x:c>
      <x:c r="O10" s="12" t="str">
        <x:v>https://taurangaglass.co.nz/</x:v>
      </x:c>
    </x:row>
    <x:row r="11">
      <x:c r="A11" s="12" t="str">
        <x:v>The Glass Centre Tauranga</x:v>
      </x:c>
      <x:c r="B11" s="12" t="str">
        <x:v>Bay of Plenty</x:v>
      </x:c>
      <x:c r="C11" s="12" t="str">
        <x:v>https://theglasscentretauranga.co.nz/</x:v>
      </x:c>
      <x:c r="D11" s="12" t="str">
        <x:v>0800 255 452</x:v>
      </x:c>
      <x:c r="E11" s="12" t="str">
        <x:v>Not publicly verified</x:v>
      </x:c>
      <x:c r="F11" s="12" t="str">
        <x:v>Not publicly verified</x:v>
      </x:c>
      <x:c r="G11" s="12" t="str">
        <x:v>Not publicly verified</x:v>
      </x:c>
      <x:c r="H11" s="12" t="str">
        <x:v>Not publicly verified</x:v>
      </x:c>
      <x:c r="I11" s="12" t="n">
        <x:v>5</x:v>
      </x:c>
      <x:c r="J11" s="12" t="n">
        <x:v>1</x:v>
      </x:c>
      <x:c r="K11" s="12" t="str">
        <x:v>A</x:v>
      </x:c>
      <x:c r="L11" s="12" t="n">
        <x:v>6</x:v>
      </x:c>
      <x:c r="M11" s="12" t="str">
        <x:v>High service overlap but very low Google review volume in discovered profile.</x:v>
      </x:c>
      <x:c r="N11" s="12" t="str">
        <x:v>Useful service/offer benchmark; less important as review-authority benchmark.</x:v>
      </x:c>
      <x:c r="O11" s="12" t="str">
        <x:v>https://theglasscentretauranga.co.nz/</x:v>
      </x:c>
    </x:row>
    <x:row r="12">
      <x:c r="A12" s="12" t="str">
        <x:v>Wellington Glass &amp; Mirror</x:v>
      </x:c>
      <x:c r="B12" s="12" t="str">
        <x:v>Wellington</x:v>
      </x:c>
      <x:c r="C12" s="12" t="str">
        <x:v>https://wellingtonglass.co.nz/</x:v>
      </x:c>
      <x:c r="D12" s="12" t="str">
        <x:v>04 389 5555 / 0800 GLASS 4 U</x:v>
      </x:c>
      <x:c r="E12" s="12" t="str">
        <x:v>info@wellingtonglass.co.nz</x:v>
      </x:c>
      <x:c r="F12" s="12" t="str">
        <x:v>https://www.facebook.com/wgtnglass</x:v>
      </x:c>
      <x:c r="G12" s="12" t="str">
        <x:v>https://www.instagram.com/wgtnglass/</x:v>
      </x:c>
      <x:c r="H12" s="12" t="str">
        <x:v>https://www.linkedin.com/company/wellingtonglassandmirror/</x:v>
      </x:c>
      <x:c r="I12" s="12" t="n">
        <x:v>4.9</x:v>
      </x:c>
      <x:c r="J12" s="12" t="n">
        <x:v>356</x:v>
      </x:c>
      <x:c r="K12" s="12" t="str">
        <x:v>A+</x:v>
      </x:c>
      <x:c r="L12" s="12" t="n">
        <x:v>7</x:v>
      </x:c>
      <x:c r="M12" s="12" t="str">
        <x:v>Exceptional review volume; frequent 2026 blog publishing; referral/payment offers; broad local service pages and active socials.</x:v>
      </x:c>
      <x:c r="N12" s="12" t="str">
        <x:v>Priority benchmark for content cadence, review acquisition, referral programs, financing/payment messaging and SEO freshness.</x:v>
      </x:c>
      <x:c r="O12" s="12" t="str">
        <x:v>https://wellingtonglass.co.nz/</x:v>
      </x:c>
    </x:row>
    <x:row r="13">
      <x:c r="A13" s="12" t="str">
        <x:v>Glass Group Limited</x:v>
      </x:c>
      <x:c r="B13" s="12" t="str">
        <x:v>Wellington / Taranaki / Otago</x:v>
      </x:c>
      <x:c r="C13" s="12" t="str">
        <x:v>https://www.glassgroup.co.nz/</x:v>
      </x:c>
      <x:c r="D13" s="12" t="str">
        <x:v>0800 040 010</x:v>
      </x:c>
      <x:c r="E13" s="12" t="str">
        <x:v>Admin@glassgroup.co.nz</x:v>
      </x:c>
      <x:c r="F13" s="12" t="str">
        <x:v>https://www.facebook.com/glassgroup03</x:v>
      </x:c>
      <x:c r="G13" s="12" t="str">
        <x:v>https://www.instagram.com/glassgroupltd/</x:v>
      </x:c>
      <x:c r="H13" s="12" t="str">
        <x:v>https://www.linkedin.com/company/glass-group-limited/</x:v>
      </x:c>
      <x:c r="I13" s="12" t="n">
        <x:v>4.9</x:v>
      </x:c>
      <x:c r="J13" s="12" t="n">
        <x:v>16</x:v>
      </x:c>
      <x:c r="K13" s="12" t="str">
        <x:v>A+</x:v>
      </x:c>
      <x:c r="L13" s="12" t="n">
        <x:v>5</x:v>
      </x:c>
      <x:c r="M13" s="12" t="str">
        <x:v>50+ staff claimed, 10k+ projects, in-house engineering/design, multi-region offices and strong commercial credentials.</x:v>
      </x:c>
      <x:c r="N13" s="12" t="str">
        <x:v>Benchmark scale messaging, commercial case studies, engineering/specifier content, regional expansion and B2B credibility.</x:v>
      </x:c>
      <x:c r="O13" s="12" t="str">
        <x:v>https://www.glassgroup.co.nz/</x:v>
      </x:c>
    </x:row>
    <x:row r="14">
      <x:c r="A14" s="12" t="str">
        <x:v>Supreme Balustrades</x:v>
      </x:c>
      <x:c r="B14" s="12" t="str">
        <x:v>Wellington</x:v>
      </x:c>
      <x:c r="C14" s="12" t="str">
        <x:v>https://supremebalustrades.co.nz/</x:v>
      </x:c>
      <x:c r="D14" s="12" t="str">
        <x:v>04 939 3645</x:v>
      </x:c>
      <x:c r="E14" s="12" t="str">
        <x:v>residential@supremebalustrades.co.nz</x:v>
      </x:c>
      <x:c r="F14" s="12" t="str">
        <x:v>Not publicly verified</x:v>
      </x:c>
      <x:c r="G14" s="12" t="str">
        <x:v>Not publicly verified</x:v>
      </x:c>
      <x:c r="H14" s="12" t="str">
        <x:v>Not publicly verified</x:v>
      </x:c>
      <x:c r="I14" s="12" t="n">
        <x:v>5</x:v>
      </x:c>
      <x:c r="J14" s="12" t="n">
        <x:v>34</x:v>
      </x:c>
      <x:c r="K14" s="12" t="str">
        <x:v>A</x:v>
      </x:c>
      <x:c r="L14" s="12" t="n">
        <x:v>2</x:v>
      </x:c>
      <x:c r="M14" s="12" t="str">
        <x:v>Specialist positioning around balustrades and outdoor systems with excellent rating.</x:v>
      </x:c>
      <x:c r="N14" s="12" t="str">
        <x:v>Track specialist product messaging, outdoor-living bundles and quote/measure process.</x:v>
      </x:c>
      <x:c r="O14" s="12" t="str">
        <x:v>https://supremebalustrades.co.nz/</x:v>
      </x:c>
    </x:row>
    <x:row r="15">
      <x:c r="A15" s="12" t="str">
        <x:v>NZ Frameless Glass</x:v>
      </x:c>
      <x:c r="B15" s="12" t="str">
        <x:v>Canterbury</x:v>
      </x:c>
      <x:c r="C15" s="12" t="str">
        <x:v>https://www.nzfglass.co.nz/</x:v>
      </x:c>
      <x:c r="D15" s="12" t="str">
        <x:v>0800 333 545</x:v>
      </x:c>
      <x:c r="E15" s="12" t="str">
        <x:v>info@nzfglass.co.nz</x:v>
      </x:c>
      <x:c r="F15" s="12" t="str">
        <x:v>Not publicly verified</x:v>
      </x:c>
      <x:c r="G15" s="12" t="str">
        <x:v>Not publicly verified</x:v>
      </x:c>
      <x:c r="H15" s="12" t="str">
        <x:v>https://nz.linkedin.com/company/nz-frameless-glass-ltd</x:v>
      </x:c>
      <x:c r="I15" s="12" t="n">
        <x:v>4.2</x:v>
      </x:c>
      <x:c r="J15" s="12" t="n">
        <x:v>37</x:v>
      </x:c>
      <x:c r="K15" s="12" t="str">
        <x:v>A+</x:v>
      </x:c>
      <x:c r="L15" s="12" t="n">
        <x:v>7</x:v>
      </x:c>
      <x:c r="M15" s="12" t="str">
        <x:v>Strong 'frameless glass' brand positioning covering balustrades, pool fencing and commercial fit-outs.</x:v>
      </x:c>
      <x:c r="N15" s="12" t="str">
        <x:v>Priority South Island benchmark for category branding, frameless SEO, commercial fit-outs and service breadth.</x:v>
      </x:c>
      <x:c r="O15" s="12" t="str">
        <x:v>https://www.nzfglass.co.nz/</x:v>
      </x:c>
    </x:row>
    <x:row r="16">
      <x:c r="A16" s="12" t="str">
        <x:v>Canterbury Balustrade Limited</x:v>
      </x:c>
      <x:c r="B16" s="12" t="str">
        <x:v>Canterbury</x:v>
      </x:c>
      <x:c r="C16" s="12" t="str">
        <x:v>Not publicly verified</x:v>
      </x:c>
      <x:c r="D16" s="12" t="str">
        <x:v>03 366 5511</x:v>
      </x:c>
      <x:c r="E16" s="12" t="str">
        <x:v>Not publicly verified</x:v>
      </x:c>
      <x:c r="F16" s="12" t="str">
        <x:v>Not publicly verified</x:v>
      </x:c>
      <x:c r="G16" s="12" t="str">
        <x:v>Not publicly verified</x:v>
      </x:c>
      <x:c r="H16" s="12" t="str">
        <x:v>Not publicly verified</x:v>
      </x:c>
      <x:c r="I16" s="12" t="n">
        <x:v>5</x:v>
      </x:c>
      <x:c r="J16" s="12" t="n">
        <x:v>2</x:v>
      </x:c>
      <x:c r="K16" s="12" t="str">
        <x:v>A</x:v>
      </x:c>
      <x:c r="L16" s="12" t="n">
        <x:v>1</x:v>
      </x:c>
      <x:c r="M16" s="12" t="str">
        <x:v>Exact keyword/category overlap despite small review footprint.</x:v>
      </x:c>
      <x:c r="N16" s="12" t="str">
        <x:v>Monitor specialist pricing/offer language and project types.</x:v>
      </x:c>
      <x:c r="O16" s="12" t="str">
        <x:v>https://www.google.com/maps/search/?api=1&amp;query=Canterbury+Balustrade+Limited</x:v>
      </x:c>
    </x:row>
    <x:row r="17">
      <x:c r="A17" s="12" t="str">
        <x:v>Northland Specialty Glass</x:v>
      </x:c>
      <x:c r="B17" s="12" t="str">
        <x:v>Northland</x:v>
      </x:c>
      <x:c r="C17" s="12" t="str">
        <x:v>https://specialtyglass.co.nz/</x:v>
      </x:c>
      <x:c r="D17" s="12" t="str">
        <x:v>0800 845 277</x:v>
      </x:c>
      <x:c r="E17" s="12" t="str">
        <x:v>info@specialtyglass.co.nz</x:v>
      </x:c>
      <x:c r="F17" s="12" t="str">
        <x:v>Not publicly verified</x:v>
      </x:c>
      <x:c r="G17" s="12" t="str">
        <x:v>Not publicly verified</x:v>
      </x:c>
      <x:c r="H17" s="12" t="str">
        <x:v>Not publicly verified</x:v>
      </x:c>
      <x:c r="I17" s="12" t="n">
        <x:v>4.8</x:v>
      </x:c>
      <x:c r="J17" s="12" t="n">
        <x:v>210</x:v>
      </x:c>
      <x:c r="K17" s="12" t="str">
        <x:v>A+</x:v>
      </x:c>
      <x:c r="L17" s="12" t="n">
        <x:v>7</x:v>
      </x:c>
      <x:c r="M17" s="12" t="str">
        <x:v>Claims largest independent locally owned Northland glazing company; 200+ reviews; broad service matrix.</x:v>
      </x:c>
      <x:c r="N17" s="12" t="str">
        <x:v>Priority regional benchmark for trust, broad product cross-sell, review authority and builder/property-manager targeting.</x:v>
      </x:c>
      <x:c r="O17" s="12" t="str">
        <x:v>https://specialtyglass.co.nz/</x:v>
      </x:c>
    </x:row>
    <x:row r="18">
      <x:c r="A18" s="12" t="str">
        <x:v>Outdoor Edge Northland</x:v>
      </x:c>
      <x:c r="B18" s="12" t="str">
        <x:v>Northland</x:v>
      </x:c>
      <x:c r="C18" s="12" t="str">
        <x:v>https://outdooredge.co.nz/</x:v>
      </x:c>
      <x:c r="D18" s="12" t="str">
        <x:v>0800 459 192</x:v>
      </x:c>
      <x:c r="E18" s="12" t="str">
        <x:v>info@outdooredge.co.nz</x:v>
      </x:c>
      <x:c r="F18" s="12" t="str">
        <x:v>Not publicly verified</x:v>
      </x:c>
      <x:c r="G18" s="12" t="str">
        <x:v>Not publicly verified</x:v>
      </x:c>
      <x:c r="H18" s="12" t="str">
        <x:v>Not publicly verified</x:v>
      </x:c>
      <x:c r="I18" s="12" t="n">
        <x:v>4.7</x:v>
      </x:c>
      <x:c r="J18" s="12" t="n">
        <x:v>24</x:v>
      </x:c>
      <x:c r="K18" s="12" t="str">
        <x:v>A</x:v>
      </x:c>
      <x:c r="L18" s="12" t="n">
        <x:v>2</x:v>
      </x:c>
      <x:c r="M18" s="12" t="str">
        <x:v>Bundles balustrades/pool fencing with louvre/outdoor-living systems; builder-led consultative positioning.</x:v>
      </x:c>
      <x:c r="N18" s="12" t="str">
        <x:v>Watch outdoor-living bundles, lifestyle messaging and cross-sell between fencing, balustrades and louvres.</x:v>
      </x:c>
      <x:c r="O18" s="12" t="str">
        <x:v>https://outdooredge.co.nz/</x:v>
      </x:c>
    </x:row>
    <x:row r="19">
      <x:c r="A19" s="12" t="str">
        <x:v>Balustrading and More</x:v>
      </x:c>
      <x:c r="B19" s="12" t="str">
        <x:v>Northland</x:v>
      </x:c>
      <x:c r="C19" s="12" t="str">
        <x:v>https://www.balustradingandmore.co.nz/</x:v>
      </x:c>
      <x:c r="D19" s="12" t="str">
        <x:v>09 435 3089</x:v>
      </x:c>
      <x:c r="E19" s="12" t="str">
        <x:v>info@balustradingandmore.co.nz</x:v>
      </x:c>
      <x:c r="F19" s="12" t="str">
        <x:v>Not publicly verified</x:v>
      </x:c>
      <x:c r="G19" s="12" t="str">
        <x:v>Not publicly verified</x:v>
      </x:c>
      <x:c r="H19" s="12" t="str">
        <x:v>Not publicly verified</x:v>
      </x:c>
      <x:c r="I19" s="12" t="n">
        <x:v>5</x:v>
      </x:c>
      <x:c r="J19" s="12" t="n">
        <x:v>1</x:v>
      </x:c>
      <x:c r="K19" s="12" t="str">
        <x:v>A</x:v>
      </x:c>
      <x:c r="L19" s="12" t="n">
        <x:v>2</x:v>
      </x:c>
      <x:c r="M19" s="12" t="str">
        <x:v>Exact specialist overlap in glass/aluminium balustrades, gates and pool fencing.</x:v>
      </x:c>
      <x:c r="N19" s="12" t="str">
        <x:v>Watch local specialist pricing, project types and pool-fence compliance messaging.</x:v>
      </x:c>
      <x:c r="O19" s="12" t="str">
        <x:v>https://www.balustradingandmore.co.nz/</x:v>
      </x:c>
    </x:row>
    <x:row r="20">
      <x:c r="A20" s="12" t="str">
        <x:v>Hughes Glass</x:v>
      </x:c>
      <x:c r="B20" s="12" t="str">
        <x:v>Manawatu-Whanganui</x:v>
      </x:c>
      <x:c r="C20" s="12" t="str">
        <x:v>Not publicly verified</x:v>
      </x:c>
      <x:c r="D20" s="12" t="str">
        <x:v>06 358 4308</x:v>
      </x:c>
      <x:c r="E20" s="12" t="str">
        <x:v>dave@hughesglass.co.nz</x:v>
      </x:c>
      <x:c r="F20" s="12" t="str">
        <x:v>Not publicly verified</x:v>
      </x:c>
      <x:c r="G20" s="12" t="str">
        <x:v>Not publicly verified</x:v>
      </x:c>
      <x:c r="H20" s="12" t="str">
        <x:v>Not publicly verified</x:v>
      </x:c>
      <x:c r="I20" s="12" t="n">
        <x:v>5</x:v>
      </x:c>
      <x:c r="J20" s="12" t="n">
        <x:v>21</x:v>
      </x:c>
      <x:c r="K20" s="12" t="str">
        <x:v>A</x:v>
      </x:c>
      <x:c r="L20" s="12" t="n">
        <x:v>7</x:v>
      </x:c>
      <x:c r="M20" s="12" t="str">
        <x:v>WGANZ-listed broad service mix closely matching Royal Glass.</x:v>
      </x:c>
      <x:c r="N20" s="12" t="str">
        <x:v>High-priority service-overlap competitor despite lighter public web footprint.</x:v>
      </x:c>
      <x:c r="O20" s="12" t="str">
        <x:v>https://www.wganz.org.nz/find-member/search-results/</x:v>
      </x:c>
    </x:row>
    <x:row r="21">
      <x:c r="A21" s="12" t="str">
        <x:v>Central Glass &amp; Aluminium Ltd</x:v>
      </x:c>
      <x:c r="B21" s="12" t="str">
        <x:v>Manawatu-Whanganui</x:v>
      </x:c>
      <x:c r="C21" s="12" t="str">
        <x:v>https://cggl.co.nz/</x:v>
      </x:c>
      <x:c r="D21" s="12" t="str">
        <x:v>06 355 0202</x:v>
      </x:c>
      <x:c r="E21" s="12" t="str">
        <x:v>glass@cggl.co.nz</x:v>
      </x:c>
      <x:c r="F21" s="12" t="str">
        <x:v>Not publicly verified</x:v>
      </x:c>
      <x:c r="G21" s="12" t="str">
        <x:v>Not publicly verified</x:v>
      </x:c>
      <x:c r="H21" s="12" t="str">
        <x:v>Not publicly verified</x:v>
      </x:c>
      <x:c r="I21" s="12" t="n">
        <x:v>4.2</x:v>
      </x:c>
      <x:c r="J21" s="12" t="n">
        <x:v>27</x:v>
      </x:c>
      <x:c r="K21" s="12" t="str">
        <x:v>A</x:v>
      </x:c>
      <x:c r="L21" s="12" t="n">
        <x:v>5</x:v>
      </x:c>
      <x:c r="M21" s="12" t="str">
        <x:v>Approved balustrade installer network presence plus broad glass/aluminium offering.</x:v>
      </x:c>
      <x:c r="N21" s="12" t="str">
        <x:v>Monitor installer-network credibility, systems offered and regional B2B acquisition.</x:v>
      </x:c>
      <x:c r="O21" s="12" t="str">
        <x:v>https://cggl.co.nz/</x:v>
      </x:c>
    </x:row>
    <x:row r="22">
      <x:c r="A22" s="12" t="str">
        <x:v>Get Glazed Ltd / HomePlus Whanganui</x:v>
      </x:c>
      <x:c r="B22" s="12" t="str">
        <x:v>Manawatu-Whanganui</x:v>
      </x:c>
      <x:c r="C22" s="12" t="str">
        <x:v>https://www.homeplus.co.nz/find-us/whanganui/</x:v>
      </x:c>
      <x:c r="D22" s="12" t="str">
        <x:v>06 345 0447</x:v>
      </x:c>
      <x:c r="E22" s="12" t="str">
        <x:v>wanganui@homeplus.co.nz</x:v>
      </x:c>
      <x:c r="F22" s="12" t="str">
        <x:v>Not publicly verified</x:v>
      </x:c>
      <x:c r="G22" s="12" t="str">
        <x:v>Not publicly verified</x:v>
      </x:c>
      <x:c r="H22" s="12" t="str">
        <x:v>Not publicly verified</x:v>
      </x:c>
      <x:c r="I22" s="12"/>
      <x:c r="J22" s="12" t="n">
        <x:v>0</x:v>
      </x:c>
      <x:c r="K22" s="12" t="str">
        <x:v>A</x:v>
      </x:c>
      <x:c r="L22" s="12" t="n">
        <x:v>6</x:v>
      </x:c>
      <x:c r="M22" s="12" t="str">
        <x:v>HomePlus/Juralco ecosystem gives strong system, compliance and product-network credibility.</x:v>
      </x:c>
      <x:c r="N22" s="12" t="str">
        <x:v>Track supplier-network leverage, product bundles, technical documentation and local franchise marketing.</x:v>
      </x:c>
      <x:c r="O22" s="12" t="str">
        <x:v>https://www.homeplus.co.nz/find-us/whanganui/</x:v>
      </x:c>
    </x:row>
    <x:row r="23">
      <x:c r="A23" s="12" t="str">
        <x:v>Gisborne Glass Ltd</x:v>
      </x:c>
      <x:c r="B23" s="12" t="str">
        <x:v>Gisborne</x:v>
      </x:c>
      <x:c r="C23" s="12" t="str">
        <x:v>Not publicly verified</x:v>
      </x:c>
      <x:c r="D23" s="12" t="str">
        <x:v>Not publicly verified</x:v>
      </x:c>
      <x:c r="E23" s="12" t="str">
        <x:v>Not publicly verified</x:v>
      </x:c>
      <x:c r="F23" s="12" t="str">
        <x:v>Not publicly verified</x:v>
      </x:c>
      <x:c r="G23" s="12" t="str">
        <x:v>Not publicly verified</x:v>
      </x:c>
      <x:c r="H23" s="12" t="str">
        <x:v>Not publicly verified</x:v>
      </x:c>
      <x:c r="I23" s="12"/>
      <x:c r="J23" s="12" t="n">
        <x:v>0</x:v>
      </x:c>
      <x:c r="K23" s="12" t="str">
        <x:v>A</x:v>
      </x:c>
      <x:c r="L23" s="12" t="n">
        <x:v>3</x:v>
      </x:c>
      <x:c r="M23" s="12" t="str">
        <x:v>WGANZ listings indicate balustrades, pool fencing, showers, mirrors, partitions and glazing.</x:v>
      </x:c>
      <x:c r="N23" s="12" t="str">
        <x:v>Verify current website/contact/social profiles; then monitor as the key Gisborne full-service competitor.</x:v>
      </x:c>
      <x:c r="O23" s="12" t="str">
        <x:v>https://www.wganz.org.nz/find-member/search-results/</x:v>
      </x:c>
    </x:row>
    <x:row r="24">
      <x:c r="A24" s="12" t="str">
        <x:v>Northland Glass &amp; Balustrade Solutions</x:v>
      </x:c>
      <x:c r="B24" s="12" t="str">
        <x:v>Northland</x:v>
      </x:c>
      <x:c r="C24" s="12" t="str">
        <x:v>Not publicly verified</x:v>
      </x:c>
      <x:c r="D24" s="12" t="str">
        <x:v>021 0225 3312</x:v>
      </x:c>
      <x:c r="E24" s="12" t="str">
        <x:v>info@gbsolutions.co.nz</x:v>
      </x:c>
      <x:c r="F24" s="12" t="str">
        <x:v>Not publicly verified</x:v>
      </x:c>
      <x:c r="G24" s="12" t="str">
        <x:v>Not publicly verified</x:v>
      </x:c>
      <x:c r="H24" s="12" t="str">
        <x:v>Not publicly verified</x:v>
      </x:c>
      <x:c r="I24" s="12"/>
      <x:c r="J24" s="12" t="n">
        <x:v>0</x:v>
      </x:c>
      <x:c r="K24" s="12" t="str">
        <x:v>A</x:v>
      </x:c>
      <x:c r="L24" s="12" t="n">
        <x:v>3</x:v>
      </x:c>
      <x:c r="M24" s="12" t="str">
        <x:v>Approved Juralco installer for Far North/Northland.</x:v>
      </x:c>
      <x:c r="N24" s="12" t="str">
        <x:v>Monitor system range, project portfolio and regional keyword coverage.</x:v>
      </x:c>
      <x:c r="O24" s="12" t="str">
        <x:v>https://www.juralcobalustrades.co.nz/installers/</x:v>
      </x:c>
    </x:row>
    <x:row r="25">
      <x:c r="A25" s="12" t="str">
        <x:v>Outdoor Edge Auckland</x:v>
      </x:c>
      <x:c r="B25" s="12" t="str">
        <x:v>Auckland</x:v>
      </x:c>
      <x:c r="C25" s="12" t="str">
        <x:v>https://outdooredge.co.nz/</x:v>
      </x:c>
      <x:c r="D25" s="12" t="str">
        <x:v>0800 459 192</x:v>
      </x:c>
      <x:c r="E25" s="12" t="str">
        <x:v>sales@outdooredge.co.nz</x:v>
      </x:c>
      <x:c r="F25" s="12" t="str">
        <x:v>Not publicly verified</x:v>
      </x:c>
      <x:c r="G25" s="12" t="str">
        <x:v>Not publicly verified</x:v>
      </x:c>
      <x:c r="H25" s="12" t="str">
        <x:v>Not publicly verified</x:v>
      </x:c>
      <x:c r="I25" s="12"/>
      <x:c r="J25" s="12" t="n">
        <x:v>0</x:v>
      </x:c>
      <x:c r="K25" s="12" t="str">
        <x:v>A</x:v>
      </x:c>
      <x:c r="L25" s="12" t="n">
        <x:v>3</x:v>
      </x:c>
      <x:c r="M25" s="12" t="str">
        <x:v>Same network model as Outdoor Edge Northland; Auckland/Coromandel coverage.</x:v>
      </x:c>
      <x:c r="N25" s="12" t="str">
        <x:v>Track outdoor-living cross-sell and premium residential positioning.</x:v>
      </x:c>
      <x:c r="O25" s="12" t="str">
        <x:v>https://outdooredge.co.nz/</x:v>
      </x:c>
    </x:row>
  </x:sheetData>
  <x:conditionalFormatting sqref="I2:I25">
    <x:cfRule type="colorScale" priority="1">
      <x:colorScale>
        <x:cfvo type="min"/>
        <x:cfvo type="percentile" val="50"/>
        <x:cfvo type="max"/>
        <x:color rgb="FFFDE2E2"/>
        <x:color rgb="FFFFF4CC"/>
        <x:color rgb="FFD9F2E6"/>
      </x:colorScale>
    </x:cfRule>
  </x:conditionalFormatting>
  <x:conditionalFormatting sqref="J2:J25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{C1341018-8F17-6001-8727-5E7B667B98F5}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f9282a167bd492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C1341018-8F17-6001-8727-5E7B667B98F5}">
            <x14:dataBar gradient="1">
              <x14:cfvo type="min"/>
              <x14:cfvo type="max"/>
              <x14:fillColor rgb="FFA02B93"/>
            </x14:dataBar>
          </x14:cfRule>
          <xm:sqref>J2:J25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2" hidden="0" customWidth="1"/>
    <x:col min="3" max="3" width="3" hidden="0" customWidth="1"/>
    <x:col min="4" max="4" width="16" hidden="0" customWidth="1"/>
    <x:col min="5" max="5" width="12" hidden="0" customWidth="1"/>
    <x:col min="6" max="6" width="3" hidden="0" customWidth="1"/>
    <x:col min="7" max="7" width="18" hidden="0" customWidth="1"/>
    <x:col min="8" max="8" width="18" hidden="0" customWidth="1"/>
  </x:cols>
  <x:sheetData>
    <x:row r="1" ht="32" customHeight="1">
      <x:c r="A1" s="22" t="str">
        <x:v>Royal Glass — NZ Competitor Intelligence</x:v>
      </x:c>
      <x:c r="B1" s="22"/>
      <x:c r="C1" s="22"/>
      <x:c r="D1" s="22"/>
      <x:c r="E1" s="22"/>
      <x:c r="F1" s="22"/>
      <x:c r="G1" s="22"/>
      <x:c r="H1" s="22"/>
    </x:row>
    <x:row r="3">
      <x:c r="A3" s="6" t="str">
        <x:v>KPI</x:v>
      </x:c>
      <x:c r="B3" s="6" t="str">
        <x:v>Value</x:v>
      </x:c>
      <x:c r="D3" s="6" t="str">
        <x:v>Tier</x:v>
      </x:c>
      <x:c r="E3" s="6" t="str">
        <x:v>Count</x:v>
      </x:c>
    </x:row>
    <x:row r="4">
      <x:c r="A4" t="str">
        <x:v>Competitors in master list</x:v>
      </x:c>
      <x:c r="B4" t="n">
        <x:f>COUNTA('Competitor Master'!A2:A200)</x:f>
        <x:v>76</x:v>
      </x:c>
      <x:c r="D4" t="str">
        <x:v>A+</x:v>
      </x:c>
      <x:c r="E4" t="n">
        <x:f>COUNTIF('Competitor Master'!W2:W200,"A+")</x:f>
        <x:v>8</x:v>
      </x:c>
    </x:row>
    <x:row r="5">
      <x:c r="A5" t="str">
        <x:v>High-priority watchlist</x:v>
      </x:c>
      <x:c r="B5" t="n">
        <x:f>COUNTIF('Competitor Master'!X2:X200,"High")</x:f>
        <x:v>24</x:v>
      </x:c>
      <x:c r="D5" t="str">
        <x:v>A</x:v>
      </x:c>
      <x:c r="E5" t="n">
        <x:f>COUNTIF('Competitor Master'!W2:W200,"A")</x:f>
        <x:v>16</x:v>
      </x:c>
    </x:row>
    <x:row r="6">
      <x:c r="A6" t="str">
        <x:v>A+ direct competitors</x:v>
      </x:c>
      <x:c r="B6" t="n">
        <x:f>COUNTIF('Competitor Master'!W2:W200,"A+")</x:f>
        <x:v>8</x:v>
      </x:c>
      <x:c r="D6" t="str">
        <x:v>B</x:v>
      </x:c>
      <x:c r="E6" t="n">
        <x:f>COUNTIF('Competitor Master'!W2:W200,"B")</x:f>
        <x:v>38</x:v>
      </x:c>
    </x:row>
    <x:row r="7">
      <x:c r="A7" t="str">
        <x:v>Competitors with 100+ reviews</x:v>
      </x:c>
      <x:c r="B7" t="n">
        <x:f>COUNTIF('Competitor Master'!L2:L200,"&gt;=100")</x:f>
        <x:v>15</x:v>
      </x:c>
      <x:c r="D7" t="str">
        <x:v>C</x:v>
      </x:c>
      <x:c r="E7" t="n">
        <x:f>COUNTIF('Competitor Master'!W2:W200,"C")</x:f>
        <x:v>14</x:v>
      </x:c>
    </x:row>
    <x:row r="8">
      <x:c r="A8" t="str">
        <x:v>Average verified Google rating</x:v>
      </x:c>
      <x:c r="B8" s="26" t="n">
        <x:f>SUM('Competitor Master'!K2:K200)/COUNTIF('Competitor Master'!K2:K200,"&gt;0")</x:f>
        <x:v>4.811764705882353</x:v>
      </x:c>
    </x:row>
    <x:row r="11">
      <x:c r="A11" s="6" t="str">
        <x:v>How to read the sheet</x:v>
      </x:c>
      <x:c r="B11" s="6" t="str"/>
      <x:c r="C11" s="6" t="str"/>
      <x:c r="D11" s="6" t="str"/>
      <x:c r="E11" s="6" t="str"/>
      <x:c r="F11" s="6" t="str"/>
      <x:c r="G11" s="6" t="str"/>
      <x:c r="H11" s="6" t="str"/>
    </x:row>
    <x:row r="12">
      <x:c r="A12" s="12" t="str">
        <x:v>Tier A+</x:v>
      </x:c>
      <x:c r="B12" s="12" t="str">
        <x:v>Closest strategic competitors: broad service overlap and/or strong scale/authority.</x:v>
      </x:c>
      <x:c r="C12" s="12" t="str"/>
      <x:c r="D12" s="12" t="str"/>
      <x:c r="E12" s="12" t="str"/>
      <x:c r="F12" s="12" t="str"/>
      <x:c r="G12" s="12" t="str"/>
      <x:c r="H12" s="12" t="str"/>
    </x:row>
    <x:row r="13">
      <x:c r="A13" s="12" t="str">
        <x:v>Tier A</x:v>
      </x:c>
      <x:c r="B13" s="12" t="str">
        <x:v>Direct specialist or full-service competitors worth recurring monitoring.</x:v>
      </x:c>
      <x:c r="C13" s="12" t="str"/>
      <x:c r="D13" s="12" t="str"/>
      <x:c r="E13" s="12" t="str"/>
      <x:c r="F13" s="12" t="str"/>
      <x:c r="G13" s="12" t="str"/>
      <x:c r="H13" s="12" t="str"/>
    </x:row>
    <x:row r="14">
      <x:c r="A14" s="12" t="str">
        <x:v>Tier B</x:v>
      </x:c>
      <x:c r="B14" s="12" t="str">
        <x:v>Relevant/adjacent businesses; monitor selectively or enrich before automating.</x:v>
      </x:c>
      <x:c r="C14" s="12" t="str"/>
      <x:c r="D14" s="12" t="str"/>
      <x:c r="E14" s="12" t="str"/>
      <x:c r="F14" s="12" t="str"/>
      <x:c r="G14" s="12" t="str"/>
      <x:c r="H14" s="12" t="str"/>
    </x:row>
    <x:row r="15">
      <x:c r="A15" s="12" t="str">
        <x:v>Tier C</x:v>
      </x:c>
      <x:c r="B15" s="12" t="str">
        <x:v>Mostly general glazing/repair or weaker overlap; keep for regional discovery.</x:v>
      </x:c>
      <x:c r="C15" s="12" t="str"/>
      <x:c r="D15" s="12" t="str"/>
      <x:c r="E15" s="12" t="str"/>
      <x:c r="F15" s="12" t="str"/>
      <x:c r="G15" s="12" t="str"/>
      <x:c r="H15" s="12" t="str"/>
    </x:row>
    <x:row r="16">
      <x:c r="A16" s="12" t="str">
        <x:v>High priority</x:v>
      </x:c>
      <x:c r="B16" s="12" t="str">
        <x:v>Recommended for recurring website/social/content monitoring.</x:v>
      </x:c>
      <x:c r="C16" s="12" t="str"/>
      <x:c r="D16" s="12" t="str"/>
      <x:c r="E16" s="12" t="str"/>
      <x:c r="F16" s="12" t="str"/>
      <x:c r="G16" s="12" t="str"/>
      <x:c r="H16" s="12" t="str"/>
    </x:row>
    <x:row r="17">
      <x:c r="A17" s="12" t="str">
        <x:v>Not publicly verified</x:v>
      </x:c>
      <x:c r="B17" s="12" t="str">
        <x:v>I could not reliably confirm the field in this research pass; it does NOT mean the account/contact does not exist.</x:v>
      </x:c>
      <x:c r="C17" s="12" t="str"/>
      <x:c r="D17" s="12" t="str"/>
      <x:c r="E17" s="12" t="str"/>
      <x:c r="F17" s="12" t="str"/>
      <x:c r="G17" s="12" t="str"/>
      <x:c r="H17" s="12" t="str"/>
    </x:row>
    <x:row r="18">
      <x:c r="A18" s="12" t="str">
        <x:v>Unclear service flag</x:v>
      </x:c>
      <x:c r="B18" s="12" t="str">
        <x:v>The company appeared in relevant searches, but the specific service was not sufficiently verified.</x:v>
      </x:c>
      <x:c r="C18" s="12" t="str"/>
      <x:c r="D18" s="12" t="str"/>
      <x:c r="E18" s="12" t="str"/>
      <x:c r="F18" s="12" t="str"/>
      <x:c r="G18" s="12" t="str"/>
      <x:c r="H18" s="12" t="str"/>
    </x:row>
    <x:row r="21">
      <x:c r="A21" s="6" t="str">
        <x:v>Recommended monitoring fields</x:v>
      </x:c>
      <x:c r="B21" s="6" t="str"/>
      <x:c r="C21" s="6" t="str"/>
      <x:c r="D21" s="6" t="str"/>
      <x:c r="E21" s="6" t="str"/>
      <x:c r="F21" s="6" t="str"/>
      <x:c r="G21" s="6" t="str"/>
      <x:c r="H21" s="6" t="str"/>
    </x:row>
    <x:row r="22">
      <x:c r="A22" s="12" t="str">
        <x:v>Website changes</x:v>
      </x:c>
      <x:c r="B22" s="12" t="str">
        <x:v>New service pages, pricing/quote calculators, FAQs, case studies, location pages and offers.</x:v>
      </x:c>
      <x:c r="C22" s="12" t="str"/>
      <x:c r="D22" s="12" t="str"/>
      <x:c r="E22" s="12" t="str"/>
      <x:c r="F22" s="12" t="str"/>
      <x:c r="G22" s="12" t="str"/>
      <x:c r="H22" s="12" t="str"/>
    </x:row>
    <x:row r="23">
      <x:c r="A23" s="12" t="str">
        <x:v>SEO</x:v>
      </x:c>
      <x:c r="B23" s="12" t="str">
        <x:v>Keyword/page expansion, title/meta positioning, schema, FAQs, content frequency and local-area pages.</x:v>
      </x:c>
      <x:c r="C23" s="12" t="str"/>
      <x:c r="D23" s="12" t="str"/>
      <x:c r="E23" s="12" t="str"/>
      <x:c r="F23" s="12" t="str"/>
      <x:c r="G23" s="12" t="str"/>
      <x:c r="H23" s="12" t="str"/>
    </x:row>
    <x:row r="24">
      <x:c r="A24" s="12" t="str">
        <x:v>Social</x:v>
      </x:c>
      <x:c r="B24" s="12" t="str">
        <x:v>Posting frequency, formats, project types, engagement, offers, testimonials and paid-campaign themes.</x:v>
      </x:c>
      <x:c r="C24" s="12" t="str"/>
      <x:c r="D24" s="12" t="str"/>
      <x:c r="E24" s="12" t="str"/>
      <x:c r="F24" s="12" t="str"/>
      <x:c r="G24" s="12" t="str"/>
      <x:c r="H24" s="12" t="str"/>
    </x:row>
    <x:row r="25">
      <x:c r="A25" s="12" t="str">
        <x:v>Reviews</x:v>
      </x:c>
      <x:c r="B25" s="12" t="str">
        <x:v>Review count growth, rating movement, recurring praise/complaints and response style.</x:v>
      </x:c>
      <x:c r="C25" s="12" t="str"/>
      <x:c r="D25" s="12" t="str"/>
      <x:c r="E25" s="12" t="str"/>
      <x:c r="F25" s="12" t="str"/>
      <x:c r="G25" s="12" t="str"/>
      <x:c r="H25" s="12" t="str"/>
    </x:row>
    <x:row r="26">
      <x:c r="A26" s="12" t="str">
        <x:v>Commercial</x:v>
      </x:c>
      <x:c r="B26" s="12" t="str">
        <x:v>Builder/architect targeting, trade accounts, certifications, technical documents and case studies.</x:v>
      </x:c>
      <x:c r="C26" s="12" t="str"/>
      <x:c r="D26" s="12" t="str"/>
      <x:c r="E26" s="12" t="str"/>
      <x:c r="F26" s="12" t="str"/>
      <x:c r="G26" s="12" t="str"/>
      <x:c r="H26" s="12" t="str"/>
    </x:row>
    <x:row r="27">
      <x:c r="A27" s="12" t="str">
        <x:v>Conversion</x:v>
      </x:c>
      <x:c r="B27" s="12" t="str">
        <x:v>Quote forms, upload-plan features, calculators, call CTAs, response-time promises and referral/payment programs.</x:v>
      </x:c>
      <x:c r="C27" s="12" t="str"/>
      <x:c r="D27" s="12" t="str"/>
      <x:c r="E27" s="12" t="str"/>
      <x:c r="F27" s="12" t="str"/>
      <x:c r="G27" s="12" t="str"/>
      <x:c r="H27" s="12" t="str"/>
    </x:row>
  </x:sheetData>
  <x:mergeCells>
    <x:mergeCell ref="A1:H1"/>
    <x:mergeCell ref="A11:H11"/>
    <x:mergeCell ref="B12:H12"/>
    <x:mergeCell ref="B13:H13"/>
    <x:mergeCell ref="B14:H14"/>
    <x:mergeCell ref="B15:H15"/>
    <x:mergeCell ref="B16:H16"/>
    <x:mergeCell ref="B17:H17"/>
    <x:mergeCell ref="B18:H18"/>
    <x:mergeCell ref="A21:H21"/>
    <x:mergeCell ref="B22:H22"/>
    <x:mergeCell ref="B23:H23"/>
    <x:mergeCell ref="B24:H24"/>
    <x:mergeCell ref="B25:H25"/>
    <x:mergeCell ref="B26:H26"/>
    <x:mergeCell ref="B27:H27"/>
  </x:mergeCells>
  <x:pageMargins left="0.7" right="0.7" top="0.75" bottom="0.75" header="0.3" footer="0.3"/>
  <x:drawing xmlns:r="http://schemas.openxmlformats.org/officeDocument/2006/relationships" r:id="R3ce1519b7d684c2a"/>
</x:worksheet>
</file>